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usco\Desktop\"/>
    </mc:Choice>
  </mc:AlternateContent>
  <xr:revisionPtr revIDLastSave="0" documentId="8_{9EC5BE66-8DC0-467B-B682-6C55AEF96D05}" xr6:coauthVersionLast="47" xr6:coauthVersionMax="47" xr10:uidLastSave="{00000000-0000-0000-0000-000000000000}"/>
  <bookViews>
    <workbookView xWindow="-28920" yWindow="-120" windowWidth="29040" windowHeight="15720" firstSheet="1" activeTab="1" xr2:uid="{63BAC678-5051-418F-925F-731CC2E47A4D}"/>
  </bookViews>
  <sheets>
    <sheet name="A216810396964DCDB399904ED81BA8E" sheetId="2" state="veryHidden" r:id="rId1"/>
    <sheet name="2026 Calendar" sheetId="1" r:id="rId2"/>
  </sheets>
  <definedNames>
    <definedName name="\P">#REF!</definedName>
    <definedName name="_71076_9993">#REF!</definedName>
    <definedName name="_CFD88888">TRUE</definedName>
    <definedName name="_ent1">#REF!</definedName>
    <definedName name="_EXH10">#REF!</definedName>
    <definedName name="_EXH11">#REF!</definedName>
    <definedName name="_EXH13">#REF!</definedName>
    <definedName name="_EXH15">#REF!</definedName>
    <definedName name="_EXH17">#REF!</definedName>
    <definedName name="_EXH18">#REF!</definedName>
    <definedName name="_EXH19">#REF!</definedName>
    <definedName name="_EXH20">#REF!</definedName>
    <definedName name="_EXH4">#REF!</definedName>
    <definedName name="_EXH6">#REF!</definedName>
    <definedName name="_EXH7">#REF!</definedName>
    <definedName name="_EXH9">#REF!</definedName>
    <definedName name="_Fill" hidden="1">#REF!</definedName>
    <definedName name="_xlnm._FilterDatabase" localSheetId="0" hidden="1">A216810396964DCDB399904ED81BA8E!$A$1:$D$1</definedName>
    <definedName name="_Key1" hidden="1">#REF!</definedName>
    <definedName name="_Key2" hidden="1">#REF!</definedName>
    <definedName name="_man1">#REF!</definedName>
    <definedName name="_man10">#REF!</definedName>
    <definedName name="_man11">#REF!</definedName>
    <definedName name="_man5">#REF!</definedName>
    <definedName name="_man9">#REF!</definedName>
    <definedName name="_Order1" hidden="1">255</definedName>
    <definedName name="_Order2" hidden="1">255</definedName>
    <definedName name="_PL2">#REF!</definedName>
    <definedName name="_PL3">#REF!</definedName>
    <definedName name="_QTR293">#REF!</definedName>
    <definedName name="_QTR3">#REF!</definedName>
    <definedName name="_Sort" hidden="1">#REF!</definedName>
    <definedName name="_Sum1">#REF!</definedName>
    <definedName name="_Sum10">#REF!</definedName>
    <definedName name="_Sum11">#REF!</definedName>
    <definedName name="_Sum12">#REF!</definedName>
    <definedName name="_Sum13">#REF!</definedName>
    <definedName name="_Sum14">#REF!</definedName>
    <definedName name="_Sum15">#REF!</definedName>
    <definedName name="_Sum16">#REF!</definedName>
    <definedName name="_Sum17">#REF!</definedName>
    <definedName name="_Sum18">#REF!</definedName>
    <definedName name="_Sum2">#REF!</definedName>
    <definedName name="_Sum3">#REF!</definedName>
    <definedName name="_Sum4">#REF!</definedName>
    <definedName name="_Sum5">#REF!</definedName>
    <definedName name="_sum55">#REF!</definedName>
    <definedName name="_Sum6">#REF!</definedName>
    <definedName name="_Sum7">#REF!</definedName>
    <definedName name="_Sum8">#REF!</definedName>
    <definedName name="_Sum9">#REF!</definedName>
    <definedName name="_zz666">#REF!</definedName>
    <definedName name="A">#REF!</definedName>
    <definedName name="Accoun_Name">#REF!</definedName>
    <definedName name="Account_Code">#REF!</definedName>
    <definedName name="Account_Group">#REF!</definedName>
    <definedName name="Account_Name">#REF!</definedName>
    <definedName name="acquisition.price">#REF!</definedName>
    <definedName name="ACTMTH">#REF!</definedName>
    <definedName name="ActualNumberOfPayments">IFERROR(IF(LoanIsGood,IF(PaymentsPerYear=1,1,MATCH(0.01,End_Bal,-1)+1)),"")</definedName>
    <definedName name="ACTYR">#REF!</definedName>
    <definedName name="ap.t">#REF!</definedName>
    <definedName name="AR_12012003">#REF!</definedName>
    <definedName name="ar102702new">#REF!</definedName>
    <definedName name="ARwithcodes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>#REF!</definedName>
    <definedName name="assumptions">#REF!</definedName>
    <definedName name="_xlnm.Auto_Open">#REF!</definedName>
    <definedName name="bal_check">#REF!</definedName>
    <definedName name="Beg_Bal">#REF!</definedName>
    <definedName name="BG_Del" hidden="1">15</definedName>
    <definedName name="BG_Ins" hidden="1">4</definedName>
    <definedName name="BG_Mod" hidden="1">6</definedName>
    <definedName name="BS">#REF!</definedName>
    <definedName name="BSA">#REF!</definedName>
    <definedName name="BSB">#REF!</definedName>
    <definedName name="Buyer">#REF!</definedName>
    <definedName name="capex.dec">#REF!</definedName>
    <definedName name="capexactprna">#REF!</definedName>
    <definedName name="capexcfrprna">#REF!</definedName>
    <definedName name="cash.div">#REF!</definedName>
    <definedName name="ccsa">OFFSET(#REF!,0,0,COUNTA(#REF!),1)</definedName>
    <definedName name="ccsa2">OFFSET(#REF!,0,0,COUNTA(#REF!),1)</definedName>
    <definedName name="CCTotal1">#REF!</definedName>
    <definedName name="CCTotal10">#REF!</definedName>
    <definedName name="CCTotal11">#REF!</definedName>
    <definedName name="CCTotal12">#REF!</definedName>
    <definedName name="CCTotal13">#REF!</definedName>
    <definedName name="CCTotal14">#REF!</definedName>
    <definedName name="CCTotal2">#REF!</definedName>
    <definedName name="CCTotal3">#REF!</definedName>
    <definedName name="CCTotal4">#REF!</definedName>
    <definedName name="CCTotal5">#REF!</definedName>
    <definedName name="CCTotal6">#REF!</definedName>
    <definedName name="CCTotal7">#REF!</definedName>
    <definedName name="CCTotal8">#REF!</definedName>
    <definedName name="CCTotal9">#REF!</definedName>
    <definedName name="CFDGISL">TRUE</definedName>
    <definedName name="CIQWBGuid" hidden="1">"cc8a4e30-764b-49c3-a8e5-4bf4c75e7f00"</definedName>
    <definedName name="CIQWBGuid_1" hidden="1">"46b4a940-5d92-4d38-8a52-f4d7afb5eabc"</definedName>
    <definedName name="circ">#REF!</definedName>
    <definedName name="circle">#REF!</definedName>
    <definedName name="close.date">#REF!</definedName>
    <definedName name="codes">#REF!</definedName>
    <definedName name="CodesBS">#REF!</definedName>
    <definedName name="CodesPL">#REF!</definedName>
    <definedName name="ColumnTitle1">#REF!</definedName>
    <definedName name="comp.date">#REF!</definedName>
    <definedName name="CompanyCode">#REF!</definedName>
    <definedName name="CompanyName">#REF!</definedName>
    <definedName name="ConstructionTotal">#REF!</definedName>
    <definedName name="CostCentres">#REF!</definedName>
    <definedName name="CostCentres1">#REF!</definedName>
    <definedName name="CostCEntres2">#REF!</definedName>
    <definedName name="Costcentres3">#REF!</definedName>
    <definedName name="Costcentres4">#REF!</definedName>
    <definedName name="COstcentres5">#REF!</definedName>
    <definedName name="Costcentres6">#REF!</definedName>
    <definedName name="costenters2">#REF!</definedName>
    <definedName name="cp.hi">#REF!</definedName>
    <definedName name="CP.lo">#REF!</definedName>
    <definedName name="Cum_Int">#REF!</definedName>
    <definedName name="DATA">#REF!</definedName>
    <definedName name="Data02Sch10">#REF!</definedName>
    <definedName name="Data03Sch10Q1">#REF!</definedName>
    <definedName name="Data03Sch10Q2">#REF!</definedName>
    <definedName name="Data03Sch10Q3">#REF!</definedName>
    <definedName name="Data03Sch10Q4">#REF!</definedName>
    <definedName name="Data03Sch3">#REF!</definedName>
    <definedName name="Data03Sch3Q1">#REF!</definedName>
    <definedName name="Data03Sch3Q2">#REF!</definedName>
    <definedName name="Data03Sch3Q3">#REF!</definedName>
    <definedName name="Data03Sch3Q4">#REF!</definedName>
    <definedName name="Data03Sch5Q1a">#REF!</definedName>
    <definedName name="Data03Sch5Q1b">#REF!</definedName>
    <definedName name="Data03Sch5Q1c">#REF!</definedName>
    <definedName name="Data03Sch5Q1d">#REF!</definedName>
    <definedName name="Data03Sch5Q1e">#REF!</definedName>
    <definedName name="Data03Sch5Q2a">#REF!</definedName>
    <definedName name="Data03Sch5Q2b">#REF!</definedName>
    <definedName name="Data03Sch5Q2c">#REF!</definedName>
    <definedName name="Data03Sch5Q2d">#REF!</definedName>
    <definedName name="Data03Sch5Q2e">#REF!</definedName>
    <definedName name="Data03Sch5Q3a">#REF!</definedName>
    <definedName name="Data03Sch5Q3b">#REF!</definedName>
    <definedName name="Data03Sch5Q3c">#REF!</definedName>
    <definedName name="Data03Sch5Q3d">#REF!</definedName>
    <definedName name="Data03Sch5Q3e">#REF!</definedName>
    <definedName name="Data03Sch5Q4a">#REF!</definedName>
    <definedName name="Data03Sch5Q4b">#REF!</definedName>
    <definedName name="Data03Sch5Q4d">#REF!</definedName>
    <definedName name="Data03Sch5Q4e">#REF!</definedName>
    <definedName name="Data03Sch9_9Mo2">#REF!</definedName>
    <definedName name="Data03Sch9_Q42">#REF!</definedName>
    <definedName name="Data04Sch10">#REF!</definedName>
    <definedName name="Data04Sch3">#REF!</definedName>
    <definedName name="Data04Sch9_2">#REF!</definedName>
    <definedName name="data2">#REF!</definedName>
    <definedName name="_xlnm.Database">#REF!</definedName>
    <definedName name="DataBS">#REF!</definedName>
    <definedName name="DataPL">#REF!</definedName>
    <definedName name="DataSch11a">#REF!</definedName>
    <definedName name="DataSch11b">#REF!</definedName>
    <definedName name="DataSch11c">#REF!</definedName>
    <definedName name="DataSch8_a">#REF!</definedName>
    <definedName name="DataSch8_b">#REF!</definedName>
    <definedName name="date.first.pmt">#REF!</definedName>
    <definedName name="datval">OFFSET(#REF!,0,0,COUNTA(#REF!),1)</definedName>
    <definedName name="datvals">OFFSET(#REF!,0,0,COUNTA(#REF!),1)</definedName>
    <definedName name="debt_A">#REF!</definedName>
    <definedName name="debt_B">#REF!</definedName>
    <definedName name="debt_mezz">#REF!</definedName>
    <definedName name="debt_rev">#REF!</definedName>
    <definedName name="DEPOSITS">#REF!</definedName>
    <definedName name="dfmeameu">#REF!</definedName>
    <definedName name="diamond">#REF!</definedName>
    <definedName name="dlom.hi">#REF!</definedName>
    <definedName name="dlom.lo">#REF!</definedName>
    <definedName name="E.T.P._SUSPENSE">#REF!</definedName>
    <definedName name="End_Bal">#REF!</definedName>
    <definedName name="End_Of_File">#REF!</definedName>
    <definedName name="EndingBalance">-FV(InterestRate/12,PaymentNumber,-MonthlyPayment,LoanAmount)</definedName>
    <definedName name="ent">OFFSET(#REF!,0,0,COUNTA(#REF!),1)</definedName>
    <definedName name="EURO_FINANCING">#REF!</definedName>
    <definedName name="EXH12A">#REF!</definedName>
    <definedName name="EXH3A">#REF!</definedName>
    <definedName name="exit">#REF!</definedName>
    <definedName name="exitequity">#REF!</definedName>
    <definedName name="Extra_Pay">#REF!</definedName>
    <definedName name="ExtraPayments">#REF!</definedName>
    <definedName name="FCSTMTH">#REF!</definedName>
    <definedName name="fd">#REF!</definedName>
    <definedName name="FF">#REF!</definedName>
    <definedName name="FFA">#REF!</definedName>
    <definedName name="FFB">#REF!</definedName>
    <definedName name="FINCOMMENTS">#REF!</definedName>
    <definedName name="FINSTATS">#REF!</definedName>
    <definedName name="FIRST">#REF!</definedName>
    <definedName name="Forecast">#REF!</definedName>
    <definedName name="forecast1">#REF!</definedName>
    <definedName name="Forecast10">#REF!</definedName>
    <definedName name="Forecast11">#REF!</definedName>
    <definedName name="Forecast12">#REF!</definedName>
    <definedName name="Forecast13">#REF!</definedName>
    <definedName name="Forecast14">#REF!</definedName>
    <definedName name="Forecast15">#REF!</definedName>
    <definedName name="Forecast16">#REF!</definedName>
    <definedName name="Forecast17">#REF!</definedName>
    <definedName name="Forecast2">#REF!</definedName>
    <definedName name="Forecast3">#REF!</definedName>
    <definedName name="Forecast4">#REF!</definedName>
    <definedName name="Forecast5">#REF!</definedName>
    <definedName name="Forecast6">#REF!</definedName>
    <definedName name="Forecast7">#REF!</definedName>
    <definedName name="Forecast8">#REF!</definedName>
    <definedName name="Forecast9">#REF!</definedName>
    <definedName name="Formula4b">#REF!</definedName>
    <definedName name="FOURTH">#REF!</definedName>
    <definedName name="FSACTPRNA">#REF!</definedName>
    <definedName name="FSACTPRNB">#REF!</definedName>
    <definedName name="FSACTYTDPRNA">#REF!</definedName>
    <definedName name="FSBUDPRNA">#REF!</definedName>
    <definedName name="FSBUDPRNB">#REF!</definedName>
    <definedName name="FSBUDYTDPRNA">#REF!</definedName>
    <definedName name="FSSUMPRNA">#REF!</definedName>
    <definedName name="FSSUMPRNB">#REF!</definedName>
    <definedName name="Full_Print">#REF!</definedName>
    <definedName name="FXCode">#REF!</definedName>
    <definedName name="FXdiff">#REF!</definedName>
    <definedName name="gfr">#REF!</definedName>
    <definedName name="grow.t">#REF!</definedName>
    <definedName name="Hardcode5COGS">#REF!</definedName>
    <definedName name="Hardcode5COGS03a">#REF!</definedName>
    <definedName name="Hardcode5COGS03b">#REF!</definedName>
    <definedName name="Hardcode5COS">#REF!</definedName>
    <definedName name="Hardcode5COS03a">#REF!</definedName>
    <definedName name="Hardcode5COS03b">#REF!</definedName>
    <definedName name="Hardcode5Dep">#REF!</definedName>
    <definedName name="Hardcode5Dep03a">#REF!</definedName>
    <definedName name="Hardcode5Dep03b">#REF!</definedName>
    <definedName name="Hardcode5Rev">#REF!</definedName>
    <definedName name="Hardcode5Rev03b">#REF!</definedName>
    <definedName name="Hardcode5SGA">#REF!</definedName>
    <definedName name="Hardcode5SGA03a">#REF!</definedName>
    <definedName name="Hardcode5SGA03b">#REF!</definedName>
    <definedName name="Header_Row">ROW(#REF!)</definedName>
    <definedName name="HeaderRow">ROW(#REF!)</definedName>
    <definedName name="hh" hidden="1">{#N/A,#N/A,FALSE,"Aging Summary";#N/A,#N/A,FALSE,"Ratio Analysis";#N/A,#N/A,FALSE,"Test 120 Day Accts";#N/A,#N/A,FALSE,"Tickmarks"}</definedName>
    <definedName name="HTML_CodePage" hidden="1">1252</definedName>
    <definedName name="HTML_Control" hidden="1">{"'DEPARTMENTS'!$A$1:$N$172"}</definedName>
    <definedName name="HTML_Description" hidden="1">""</definedName>
    <definedName name="HTML_Email" hidden="1">""</definedName>
    <definedName name="HTML_Header" hidden="1">"DEPARTMENTS"</definedName>
    <definedName name="HTML_LastUpdate" hidden="1">"03/15/2000"</definedName>
    <definedName name="HTML_LineAfter" hidden="1">FALSE</definedName>
    <definedName name="HTML_LineBefore" hidden="1">FALSE</definedName>
    <definedName name="HTML_Name" hidden="1">"Erik Schendel"</definedName>
    <definedName name="HTML_OBDlg2" hidden="1">TRUE</definedName>
    <definedName name="HTML_OBDlg4" hidden="1">TRUE</definedName>
    <definedName name="HTML_OS" hidden="1">0</definedName>
    <definedName name="HTML_PathFile" hidden="1">"T:\FINREP\CDZ~00\MyHTML.htm"</definedName>
    <definedName name="HTML_Title" hidden="1">"02CDZ"</definedName>
    <definedName name="INS.">#REF!</definedName>
    <definedName name="InstallTotal">#REF!</definedName>
    <definedName name="insurance">#REF!</definedName>
    <definedName name="Int">#REF!</definedName>
    <definedName name="int_A">#REF!</definedName>
    <definedName name="int_B">#REF!</definedName>
    <definedName name="int_mezz">#REF!</definedName>
    <definedName name="int_rev">#REF!</definedName>
    <definedName name="INTEREST_">#REF!</definedName>
    <definedName name="Interest_Rate">#REF!</definedName>
    <definedName name="InterestAmt">-IPMT(InterestRate/12,PaymentNumber,NumberOfPayments,LoanAmount)</definedName>
    <definedName name="InterestRate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REUT" hidden="1">"c6800"</definedName>
    <definedName name="IQ_CAL_Y" hidden="1">"c102"</definedName>
    <definedName name="IQ_CAL_Y_EST" hidden="1">"c6797"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REUT" hidden="1">"c6798"</definedName>
    <definedName name="IQ_FISCAL_Y" hidden="1">"c441"</definedName>
    <definedName name="IQ_FISCAL_Y_EST" hidden="1">"c6795"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41910.8783564815</definedName>
    <definedName name="IQ_NAMES_REVISION_DATE__1" hidden="1">43081.6862037037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39716.5599189815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B_BOOKMARK_LOCATION_0" hidden="1">#REF!</definedName>
    <definedName name="IS_RIBBON_CREATE_SUCCESS">TRUE</definedName>
    <definedName name="IS_RIBBON_SHOW_GRAPH_GROUP">FALSE</definedName>
    <definedName name="IS_RIBBON_SHOW_MAIN_GROUP">TRUE</definedName>
    <definedName name="kk">#REF!</definedName>
    <definedName name="l">#REF!</definedName>
    <definedName name="Last_Row">IF(Values_Entered,Header_Row+Number_of_Payments,Header_Row)</definedName>
    <definedName name="LastCol">MATCH(REPT("z",255),#REF!)</definedName>
    <definedName name="LastRow">MATCH(9.99E+307,#REF!)</definedName>
    <definedName name="lc">#REF!</definedName>
    <definedName name="LenderName">#REF!</definedName>
    <definedName name="Loan_Amount">#REF!</definedName>
    <definedName name="Loan_Start">#REF!</definedName>
    <definedName name="Loan_Years">#REF!</definedName>
    <definedName name="LoanAmount">#REF!</definedName>
    <definedName name="LoanIsGood">(#REF!*#REF!*#REF!*#REF!)&gt;0</definedName>
    <definedName name="LoanIsNotPaid">IF(PaymentNumber&lt;=NumberOfPayments,1,0)</definedName>
    <definedName name="LoanPeriod">#REF!</definedName>
    <definedName name="LoanStartDate">#REF!</definedName>
    <definedName name="LoanValue">-FV(InterestRate/12,PaymentNumber-1,-MonthlyPayment,LoanAmount)</definedName>
    <definedName name="LoanYears">#REF!</definedName>
    <definedName name="lookup">#REF!</definedName>
    <definedName name="ltg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18">#REF!</definedName>
    <definedName name="Macro19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rket">#REF!</definedName>
    <definedName name="MCN.T">#REF!</definedName>
    <definedName name="MGNF.T">#REF!</definedName>
    <definedName name="min.cash">#REF!</definedName>
    <definedName name="min.cash.tt">#REF!</definedName>
    <definedName name="min.cash.whl">#REF!</definedName>
    <definedName name="MISC._RECEIV.">#REF!</definedName>
    <definedName name="mmm">#REF!</definedName>
    <definedName name="Month">#REF!</definedName>
    <definedName name="Monthly_Actuals">#REF!</definedName>
    <definedName name="MonthlyPayment">-PMT(InterestRate/12,NumberOfPayments,LoanAmount)</definedName>
    <definedName name="MonthlySummaryTotal">#REF!</definedName>
    <definedName name="mortgage">#REF!</definedName>
    <definedName name="mortgage.dp">#REF!</definedName>
    <definedName name="mortgage.toggle">#REF!</definedName>
    <definedName name="msgError">"Error!"</definedName>
    <definedName name="msgOK">"OK"</definedName>
    <definedName name="MTF.T">#REF!</definedName>
    <definedName name="mult.v">#REF!</definedName>
    <definedName name="NOTES_RECEIVABL">#REF!</definedName>
    <definedName name="Num_Pmt_Per_Year">#REF!</definedName>
    <definedName name="number">#REF!</definedName>
    <definedName name="Number_of_Payments">MATCH(0.01,End_Bal,-1)+1</definedName>
    <definedName name="NumberOfPayments">#REF!</definedName>
    <definedName name="OTHER_INC_EXP">#REF!</definedName>
    <definedName name="OTHERPPDS">#REF!</definedName>
    <definedName name="Pay_Date">#REF!</definedName>
    <definedName name="Pay_Num">#REF!</definedName>
    <definedName name="Payment_Date">DATE(YEAR(Loan_Start),MONTH(Loan_Start)+Payment_Number,DAY(Loan_Start))</definedName>
    <definedName name="PaymentDate">DATE(YEAR(LoanStartDate),MONTH(LoanStartDate)+PaymentNumber,DAY(LoanStartDate))</definedName>
    <definedName name="PaymentNumber">ROW()-HeaderRow</definedName>
    <definedName name="PaymentsPerYear">#REF!</definedName>
    <definedName name="pentagon">#REF!</definedName>
    <definedName name="pik_mezz">#REF!</definedName>
    <definedName name="PL">#REF!</definedName>
    <definedName name="Planning2Total">#REF!</definedName>
    <definedName name="PlanningTotal">#REF!</definedName>
    <definedName name="planting">#REF!</definedName>
    <definedName name="pmt.date">#REF!</definedName>
    <definedName name="PPDINS">#REF!</definedName>
    <definedName name="PPDINS.">#REF!</definedName>
    <definedName name="PPE">#REF!</definedName>
    <definedName name="Pref.2016">#REF!</definedName>
    <definedName name="pref.2017">#REF!</definedName>
    <definedName name="pref.dis">#REF!</definedName>
    <definedName name="pref.pay">#REF!</definedName>
    <definedName name="Princ">#REF!</definedName>
    <definedName name="Principal">-PPMT(InterestRate/12,PaymentNumber,NumberOfPayments,LoanAmount)</definedName>
    <definedName name="_xlnm.Print_Area" localSheetId="1">'2026 Calendar'!$B$2:$O$57</definedName>
    <definedName name="_xlnm.Print_Area">#REF!</definedName>
    <definedName name="Print_Area_Reset">OFFSET(Full_Print,0,0,Last_Row)</definedName>
    <definedName name="_xlnm.Print_Titles">#REF!</definedName>
    <definedName name="Print_Titles_MI">#REF!</definedName>
    <definedName name="PrintArea_SET">OFFSET(#REF!,,,LastRow,LastCol)</definedName>
    <definedName name="re.refi">#REF!</definedName>
    <definedName name="Recover">#REF!</definedName>
    <definedName name="revcode">#REF!</definedName>
    <definedName name="revtotal">#REF!</definedName>
    <definedName name="RIBBON_OBJECT_POINTER">2430383287952</definedName>
    <definedName name="RowTitleRegion1..D6">#REF!</definedName>
    <definedName name="RowTitleRegion1..E9">#REF!</definedName>
    <definedName name="RowTitleRegion2..H6">#REF!</definedName>
    <definedName name="RowTitleRegion2..I7">#REF!</definedName>
    <definedName name="RowTitleRegion3..E9">#REF!</definedName>
    <definedName name="RowTitleRegion4..H9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eduledNumberOfPayments">#REF!</definedName>
    <definedName name="ScheduledPayment">#REF!</definedName>
    <definedName name="SECOND">#REF!</definedName>
    <definedName name="Seller">#REF!</definedName>
    <definedName name="September">#REF!</definedName>
    <definedName name="Sheet_Name">#REF!</definedName>
    <definedName name="sizedisc.wh.hi">#REF!</definedName>
    <definedName name="sizedisc.wh.lo">#REF!</definedName>
    <definedName name="Sname">#REF!</definedName>
    <definedName name="sort" hidden="1">#REF!</definedName>
    <definedName name="Source5COGS">#REF!</definedName>
    <definedName name="Source5COS">#REF!</definedName>
    <definedName name="Source5Dep">#REF!</definedName>
    <definedName name="Source5Rev">#REF!</definedName>
    <definedName name="Source5SGA">#REF!</definedName>
    <definedName name="SourceSch4bCOS">#REF!</definedName>
    <definedName name="SourceSch4bDep">#REF!</definedName>
    <definedName name="SourceSch4bRev">#REF!</definedName>
    <definedName name="SourceSch4bSGA">#REF!</definedName>
    <definedName name="Spec">#REF!</definedName>
    <definedName name="square">#REF!</definedName>
    <definedName name="STARTING.CASH">#REF!</definedName>
    <definedName name="stopsign">#REF!</definedName>
    <definedName name="SUM">#REF!</definedName>
    <definedName name="SUMMARY">#REF!</definedName>
    <definedName name="Synergies">#REF!</definedName>
    <definedName name="table1">#REF!</definedName>
    <definedName name="TableName">"Dummy"</definedName>
    <definedName name="tax.rate">#REF!</definedName>
    <definedName name="temp">#REF!</definedName>
    <definedName name="term_A">#REF!</definedName>
    <definedName name="term_B">#REF!</definedName>
    <definedName name="TestTotal">#REF!</definedName>
    <definedName name="THIRD">#REF!</definedName>
    <definedName name="TITLE">#REF!</definedName>
    <definedName name="toggle.capex">#REF!</definedName>
    <definedName name="toggle.cf.material">#REF!</definedName>
    <definedName name="toggle.direct.lab.abs">#REF!</definedName>
    <definedName name="toggle.hd">#REF!</definedName>
    <definedName name="toggle.labor">#REF!</definedName>
    <definedName name="toggle.landsale">#REF!</definedName>
    <definedName name="Total_Interest">#REF!</definedName>
    <definedName name="Total_Pay">#REF!</definedName>
    <definedName name="TotalEarlyPayments">SUM(#REF!)</definedName>
    <definedName name="TotalInterest">SUM(#REF!)</definedName>
    <definedName name="TotalLoanCost">#REF!</definedName>
    <definedName name="transl">OFFSET(#REF!,0,0,COUNTA(#REF!),1)</definedName>
    <definedName name="triangle">#REF!</definedName>
    <definedName name="ts">#REF!</definedName>
    <definedName name="TS.T">#REF!</definedName>
    <definedName name="Union_Bank">#REF!</definedName>
    <definedName name="Update5COGS">#REF!</definedName>
    <definedName name="Update5COGS03a">#REF!</definedName>
    <definedName name="Update5COGS03b">#REF!</definedName>
    <definedName name="Update5COS">#REF!</definedName>
    <definedName name="Update5COS03a">#REF!</definedName>
    <definedName name="Update5COS03b">#REF!</definedName>
    <definedName name="Update5Dep">#REF!</definedName>
    <definedName name="Update5Dep03a">#REF!</definedName>
    <definedName name="Update5Dep03b">#REF!</definedName>
    <definedName name="Update5Rev">#REF!</definedName>
    <definedName name="Update5Rev03a">#REF!</definedName>
    <definedName name="Update5Rev03b">#REF!</definedName>
    <definedName name="Update5SGA">#REF!</definedName>
    <definedName name="Update5SGA03a">#REF!</definedName>
    <definedName name="Update5SGA03b">#REF!</definedName>
    <definedName name="Values_Entered">IF(Loan_Amount*Interest_Rate*Loan_Years*Loan_Start&gt;0,1,0)</definedName>
    <definedName name="VarienceLimit">0.05</definedName>
    <definedName name="WACC">#REF!</definedName>
    <definedName name="WACC.Tax">#REF!</definedName>
    <definedName name="WB">#REF!</definedName>
    <definedName name="wh">#REF!</definedName>
    <definedName name="wrn.Aging._.and._.Trend._.Analysis.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ActiveRow" hidden="1">#REF!</definedName>
    <definedName name="XRefColumnsCount" hidden="1">2</definedName>
    <definedName name="XRefCopy2" hidden="1">#REF!</definedName>
    <definedName name="XRefCopy2Row" hidden="1">#REF!</definedName>
    <definedName name="XRefCopyRangeCount" hidden="1">4</definedName>
    <definedName name="XRefPaste10Row" hidden="1">#REF!</definedName>
    <definedName name="XRefPaste11Row" hidden="1">#REF!</definedName>
    <definedName name="XRefPaste12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3</definedName>
    <definedName name="xxx">IFERROR(IF(LoanIsGood,IF(PaymentsPerYear=1,1,MATCH(0.01,End_Bal,-1)+1)),"")</definedName>
    <definedName name="YTD_Actuals">#REF!</definedName>
    <definedName name="YTD_Credit_Memos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7" i="1" l="1"/>
  <c r="U52" i="1"/>
  <c r="U48" i="1"/>
  <c r="U44" i="1"/>
  <c r="U39" i="1"/>
  <c r="U35" i="1"/>
  <c r="U31" i="1"/>
  <c r="U26" i="1"/>
  <c r="U22" i="1"/>
  <c r="U18" i="1"/>
  <c r="U13" i="1"/>
  <c r="U9" i="1"/>
  <c r="M15" i="1"/>
  <c r="K15" i="1"/>
  <c r="I15" i="1"/>
  <c r="G15" i="1"/>
  <c r="E15" i="1"/>
  <c r="D15" i="1"/>
  <c r="E6" i="1"/>
  <c r="G6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D7" i="1"/>
  <c r="D8" i="1" s="1"/>
  <c r="D9" i="1" s="1"/>
  <c r="D10" i="1" s="1"/>
  <c r="E7" i="1"/>
  <c r="E8" i="1" s="1"/>
  <c r="E9" i="1" s="1"/>
  <c r="E10" i="1" s="1"/>
  <c r="E11" i="1" s="1"/>
  <c r="E12" i="1" s="1"/>
  <c r="E13" i="1" s="1"/>
  <c r="E14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R9" i="1"/>
  <c r="O15" i="1"/>
  <c r="O16" i="1" s="1"/>
  <c r="O17" i="1" s="1"/>
  <c r="O18" i="1" s="1"/>
  <c r="I6" i="1" l="1"/>
  <c r="K6" i="1" s="1"/>
  <c r="G7" i="1"/>
  <c r="G8" i="1" s="1"/>
  <c r="G9" i="1" s="1"/>
  <c r="G10" i="1" s="1"/>
  <c r="G11" i="1" s="1"/>
  <c r="G12" i="1" s="1"/>
  <c r="G13" i="1" s="1"/>
  <c r="G14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O19" i="1"/>
  <c r="O20" i="1" s="1"/>
  <c r="O21" i="1" s="1"/>
  <c r="O22" i="1" s="1"/>
  <c r="S18" i="1"/>
  <c r="D11" i="1"/>
  <c r="D12" i="1" s="1"/>
  <c r="D13" i="1" s="1"/>
  <c r="D14" i="1" s="1"/>
  <c r="R13" i="1"/>
  <c r="I7" i="1"/>
  <c r="I8" i="1" s="1"/>
  <c r="I9" i="1" s="1"/>
  <c r="I10" i="1" s="1"/>
  <c r="I11" i="1" s="1"/>
  <c r="I12" i="1" s="1"/>
  <c r="I13" i="1" s="1"/>
  <c r="I14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K7" i="1" l="1"/>
  <c r="K8" i="1" s="1"/>
  <c r="K9" i="1" s="1"/>
  <c r="K10" i="1" s="1"/>
  <c r="K11" i="1" s="1"/>
  <c r="K12" i="1" s="1"/>
  <c r="K13" i="1" s="1"/>
  <c r="K14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M6" i="1"/>
  <c r="D16" i="1"/>
  <c r="D17" i="1" s="1"/>
  <c r="D18" i="1" s="1"/>
  <c r="D19" i="1" s="1"/>
  <c r="R18" i="1"/>
  <c r="S22" i="1"/>
  <c r="O23" i="1"/>
  <c r="O24" i="1" s="1"/>
  <c r="O25" i="1" s="1"/>
  <c r="O26" i="1" s="1"/>
  <c r="O27" i="1" l="1"/>
  <c r="O28" i="1" s="1"/>
  <c r="O29" i="1" s="1"/>
  <c r="O30" i="1" s="1"/>
  <c r="O31" i="1" s="1"/>
  <c r="S26" i="1"/>
  <c r="D20" i="1"/>
  <c r="D21" i="1" s="1"/>
  <c r="D22" i="1" s="1"/>
  <c r="D23" i="1" s="1"/>
  <c r="R22" i="1"/>
  <c r="O6" i="1"/>
  <c r="O7" i="1" s="1"/>
  <c r="O8" i="1" s="1"/>
  <c r="O9" i="1" s="1"/>
  <c r="M7" i="1"/>
  <c r="M8" i="1" s="1"/>
  <c r="M9" i="1" s="1"/>
  <c r="M10" i="1" s="1"/>
  <c r="M11" i="1" s="1"/>
  <c r="M12" i="1" s="1"/>
  <c r="M13" i="1" s="1"/>
  <c r="M14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O10" i="1" l="1"/>
  <c r="O11" i="1" s="1"/>
  <c r="O12" i="1" s="1"/>
  <c r="O13" i="1" s="1"/>
  <c r="S13" i="1" s="1"/>
  <c r="S9" i="1"/>
  <c r="D24" i="1"/>
  <c r="D25" i="1" s="1"/>
  <c r="D26" i="1" s="1"/>
  <c r="D27" i="1" s="1"/>
  <c r="R26" i="1"/>
  <c r="O32" i="1"/>
  <c r="O33" i="1" s="1"/>
  <c r="O34" i="1" s="1"/>
  <c r="O35" i="1" s="1"/>
  <c r="S31" i="1"/>
  <c r="S35" i="1" l="1"/>
  <c r="O36" i="1"/>
  <c r="O37" i="1" s="1"/>
  <c r="O38" i="1" s="1"/>
  <c r="O39" i="1" s="1"/>
  <c r="D28" i="1"/>
  <c r="D29" i="1" s="1"/>
  <c r="D30" i="1" s="1"/>
  <c r="D31" i="1" s="1"/>
  <c r="D32" i="1" s="1"/>
  <c r="R31" i="1"/>
  <c r="S39" i="1" l="1"/>
  <c r="O40" i="1"/>
  <c r="O41" i="1" s="1"/>
  <c r="O42" i="1" s="1"/>
  <c r="O43" i="1" s="1"/>
  <c r="O44" i="1" s="1"/>
  <c r="R35" i="1"/>
  <c r="D33" i="1"/>
  <c r="D34" i="1" s="1"/>
  <c r="D35" i="1" s="1"/>
  <c r="D36" i="1" s="1"/>
  <c r="D37" i="1" l="1"/>
  <c r="D38" i="1" s="1"/>
  <c r="D39" i="1" s="1"/>
  <c r="D40" i="1" s="1"/>
  <c r="R39" i="1"/>
  <c r="O45" i="1"/>
  <c r="O46" i="1" s="1"/>
  <c r="O47" i="1" s="1"/>
  <c r="O48" i="1" s="1"/>
  <c r="S44" i="1"/>
  <c r="S48" i="1" l="1"/>
  <c r="O49" i="1"/>
  <c r="O50" i="1" s="1"/>
  <c r="O51" i="1" s="1"/>
  <c r="O52" i="1" s="1"/>
  <c r="D41" i="1"/>
  <c r="D42" i="1" s="1"/>
  <c r="D43" i="1" s="1"/>
  <c r="D44" i="1" s="1"/>
  <c r="D45" i="1" s="1"/>
  <c r="R44" i="1"/>
  <c r="S52" i="1" l="1"/>
  <c r="O53" i="1"/>
  <c r="O54" i="1" s="1"/>
  <c r="O55" i="1" s="1"/>
  <c r="O56" i="1" s="1"/>
  <c r="O57" i="1" s="1"/>
  <c r="S57" i="1" s="1"/>
  <c r="R48" i="1"/>
  <c r="D46" i="1"/>
  <c r="D47" i="1" s="1"/>
  <c r="D48" i="1" s="1"/>
  <c r="D49" i="1" s="1"/>
  <c r="D50" i="1" l="1"/>
  <c r="D51" i="1" s="1"/>
  <c r="D52" i="1" s="1"/>
  <c r="D53" i="1" s="1"/>
  <c r="R52" i="1"/>
  <c r="D54" i="1" l="1"/>
  <c r="D55" i="1" s="1"/>
  <c r="D56" i="1" s="1"/>
  <c r="D57" i="1" s="1"/>
  <c r="R57" i="1"/>
</calcChain>
</file>

<file path=xl/sharedStrings.xml><?xml version="1.0" encoding="utf-8"?>
<sst xmlns="http://schemas.openxmlformats.org/spreadsheetml/2006/main" count="59" uniqueCount="34">
  <si>
    <t>Payroll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</si>
  <si>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</si>
  <si>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</si>
  <si>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</si>
  <si>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</si>
  <si>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</si>
  <si>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</si>
  <si>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</si>
  <si>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</si>
  <si>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</si>
  <si>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</si>
  <si>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</si>
  <si>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</si>
  <si>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Saturday</t>
  </si>
  <si>
    <t>Friday</t>
  </si>
  <si>
    <t>Thursday</t>
  </si>
  <si>
    <t>Wednesday</t>
  </si>
  <si>
    <t>Tuesday</t>
  </si>
  <si>
    <t>Monday</t>
  </si>
  <si>
    <t>Sunday</t>
  </si>
  <si>
    <t>Week</t>
  </si>
  <si>
    <t>Month</t>
  </si>
  <si>
    <t>Month End Close</t>
  </si>
  <si>
    <t>Holiday</t>
  </si>
  <si>
    <t xml:space="preserve">Bank Reporting </t>
  </si>
  <si>
    <t>Executive Meeting</t>
  </si>
  <si>
    <t>Final P&amp;L Issued</t>
  </si>
  <si>
    <t>Initial P&amp;L to Farms</t>
  </si>
  <si>
    <t>Processing Complete</t>
  </si>
  <si>
    <t>Address</t>
  </si>
  <si>
    <t>ValueType</t>
  </si>
  <si>
    <t>Value</t>
  </si>
  <si>
    <t>ConnectionName</t>
  </si>
  <si>
    <t>2026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</si>
</sst>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0" fontId="5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0" fontId="1" fillId="0" borderId="0" xfId="2"/>
    <xf numFmtId="40" fontId="1" fillId="0" borderId="0" xfId="1" applyFont="1"/>
    <xf numFmtId="0" fontId="1" fillId="2" borderId="0" xfId="2" applyFill="1"/>
    <xf numFmtId="0" fontId="1" fillId="0" borderId="0" xfId="2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2" applyFont="1"/>
    <xf numFmtId="164" fontId="1" fillId="0" borderId="0" xfId="2" applyNumberFormat="1" applyAlignment="1">
      <alignment horizontal="center" vertical="top" wrapText="1"/>
    </xf>
    <xf numFmtId="0" fontId="1" fillId="2" borderId="0" xfId="2" applyFill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0" xfId="2" applyFont="1" applyFill="1"/>
    <xf numFmtId="40" fontId="3" fillId="0" borderId="0" xfId="1" applyFont="1"/>
    <xf numFmtId="0" fontId="6" fillId="0" borderId="0" xfId="2" applyFont="1" applyAlignment="1">
      <alignment horizontal="center"/>
    </xf>
    <xf numFmtId="40" fontId="6" fillId="0" borderId="0" xfId="1" applyFont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/>
    <xf numFmtId="0" fontId="8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9" fillId="2" borderId="0" xfId="2" applyFont="1" applyFill="1" applyAlignment="1">
      <alignment horizontal="center"/>
    </xf>
    <xf numFmtId="0" fontId="10" fillId="2" borderId="0" xfId="2" applyFont="1" applyFill="1"/>
    <xf numFmtId="14" fontId="1" fillId="2" borderId="0" xfId="2" applyNumberFormat="1" applyFill="1"/>
    <xf numFmtId="164" fontId="2" fillId="3" borderId="1" xfId="2" applyNumberFormat="1" applyFont="1" applyFill="1" applyBorder="1" applyAlignment="1">
      <alignment horizontal="center" vertical="top" wrapText="1"/>
    </xf>
    <xf numFmtId="164" fontId="7" fillId="2" borderId="2" xfId="2" applyNumberFormat="1" applyFont="1" applyFill="1" applyBorder="1" applyAlignment="1">
      <alignment horizontal="center" vertical="center" wrapText="1"/>
    </xf>
    <xf numFmtId="164" fontId="7" fillId="2" borderId="3" xfId="2" applyNumberFormat="1" applyFont="1" applyFill="1" applyBorder="1" applyAlignment="1">
      <alignment horizontal="center" vertical="top"/>
    </xf>
    <xf numFmtId="164" fontId="7" fillId="2" borderId="4" xfId="2" applyNumberFormat="1" applyFont="1" applyFill="1" applyBorder="1" applyAlignment="1">
      <alignment horizontal="center" vertical="top"/>
    </xf>
    <xf numFmtId="164" fontId="4" fillId="4" borderId="5" xfId="2" applyNumberFormat="1" applyFont="1" applyFill="1" applyBorder="1" applyAlignment="1">
      <alignment horizontal="center" vertical="top" wrapText="1"/>
    </xf>
    <xf numFmtId="164" fontId="7" fillId="2" borderId="2" xfId="2" applyNumberFormat="1" applyFont="1" applyFill="1" applyBorder="1" applyAlignment="1">
      <alignment horizontal="center" vertical="top" wrapText="1"/>
    </xf>
    <xf numFmtId="0" fontId="3" fillId="2" borderId="1" xfId="2" applyFont="1" applyFill="1" applyBorder="1" applyAlignment="1">
      <alignment horizontal="center"/>
    </xf>
    <xf numFmtId="164" fontId="1" fillId="2" borderId="7" xfId="2" applyNumberFormat="1" applyFill="1" applyBorder="1" applyAlignment="1">
      <alignment horizontal="center" vertical="top" wrapText="1"/>
    </xf>
    <xf numFmtId="164" fontId="1" fillId="2" borderId="7" xfId="2" applyNumberFormat="1" applyFill="1" applyBorder="1" applyAlignment="1">
      <alignment horizontal="center" vertical="center" wrapText="1"/>
    </xf>
    <xf numFmtId="164" fontId="1" fillId="2" borderId="8" xfId="2" applyNumberFormat="1" applyFill="1" applyBorder="1" applyAlignment="1">
      <alignment horizontal="center" vertical="top" wrapText="1"/>
    </xf>
    <xf numFmtId="164" fontId="1" fillId="2" borderId="9" xfId="2" applyNumberFormat="1" applyFill="1" applyBorder="1" applyAlignment="1">
      <alignment horizontal="center" vertical="top" wrapText="1"/>
    </xf>
    <xf numFmtId="164" fontId="7" fillId="2" borderId="10" xfId="2" applyNumberFormat="1" applyFont="1" applyFill="1" applyBorder="1" applyAlignment="1">
      <alignment horizontal="center" vertical="top" wrapText="1"/>
    </xf>
    <xf numFmtId="164" fontId="7" fillId="2" borderId="11" xfId="2" applyNumberFormat="1" applyFont="1" applyFill="1" applyBorder="1" applyAlignment="1">
      <alignment horizontal="center" vertical="top" wrapText="1"/>
    </xf>
    <xf numFmtId="164" fontId="7" fillId="2" borderId="7" xfId="2" applyNumberFormat="1" applyFont="1" applyFill="1" applyBorder="1" applyAlignment="1">
      <alignment horizontal="center" vertical="top" wrapText="1"/>
    </xf>
    <xf numFmtId="0" fontId="3" fillId="2" borderId="12" xfId="2" applyFont="1" applyFill="1" applyBorder="1" applyAlignment="1">
      <alignment horizontal="center"/>
    </xf>
    <xf numFmtId="164" fontId="7" fillId="5" borderId="8" xfId="2" applyNumberFormat="1" applyFont="1" applyFill="1" applyBorder="1" applyAlignment="1">
      <alignment horizontal="center" vertical="top" wrapText="1"/>
    </xf>
    <xf numFmtId="164" fontId="7" fillId="2" borderId="8" xfId="2" applyNumberFormat="1" applyFont="1" applyFill="1" applyBorder="1" applyAlignment="1">
      <alignment horizontal="center" vertical="top" wrapText="1"/>
    </xf>
    <xf numFmtId="164" fontId="7" fillId="2" borderId="14" xfId="2" applyNumberFormat="1" applyFont="1" applyFill="1" applyBorder="1" applyAlignment="1">
      <alignment horizontal="center" vertical="top"/>
    </xf>
    <xf numFmtId="164" fontId="7" fillId="6" borderId="8" xfId="2" applyNumberFormat="1" applyFont="1" applyFill="1" applyBorder="1" applyAlignment="1">
      <alignment horizontal="center" vertical="top" wrapText="1"/>
    </xf>
    <xf numFmtId="164" fontId="7" fillId="2" borderId="9" xfId="2" applyNumberFormat="1" applyFont="1" applyFill="1" applyBorder="1" applyAlignment="1">
      <alignment horizontal="center" vertical="top" wrapText="1"/>
    </xf>
    <xf numFmtId="164" fontId="1" fillId="2" borderId="15" xfId="2" applyNumberFormat="1" applyFill="1" applyBorder="1" applyAlignment="1">
      <alignment horizontal="center" vertical="top"/>
    </xf>
    <xf numFmtId="164" fontId="1" fillId="2" borderId="15" xfId="2" applyNumberFormat="1" applyFill="1" applyBorder="1" applyAlignment="1">
      <alignment horizontal="center" vertical="center" wrapText="1"/>
    </xf>
    <xf numFmtId="164" fontId="1" fillId="7" borderId="16" xfId="2" applyNumberFormat="1" applyFill="1" applyBorder="1" applyAlignment="1">
      <alignment horizontal="center" vertical="top" wrapText="1"/>
    </xf>
    <xf numFmtId="164" fontId="7" fillId="2" borderId="16" xfId="2" applyNumberFormat="1" applyFont="1" applyFill="1" applyBorder="1" applyAlignment="1">
      <alignment horizontal="center" vertical="top"/>
    </xf>
    <xf numFmtId="164" fontId="7" fillId="8" borderId="17" xfId="2" applyNumberFormat="1" applyFont="1" applyFill="1" applyBorder="1" applyAlignment="1">
      <alignment horizontal="center" vertical="top"/>
    </xf>
    <xf numFmtId="0" fontId="3" fillId="2" borderId="18" xfId="2" applyFont="1" applyFill="1" applyBorder="1" applyAlignment="1">
      <alignment horizontal="center"/>
    </xf>
    <xf numFmtId="164" fontId="1" fillId="9" borderId="19" xfId="2" applyNumberFormat="1" applyFill="1" applyBorder="1" applyAlignment="1">
      <alignment horizontal="center" vertical="top"/>
    </xf>
    <xf numFmtId="164" fontId="1" fillId="2" borderId="20" xfId="2" applyNumberFormat="1" applyFill="1" applyBorder="1" applyAlignment="1">
      <alignment horizontal="center" vertical="center" wrapText="1"/>
    </xf>
    <xf numFmtId="164" fontId="7" fillId="2" borderId="21" xfId="2" applyNumberFormat="1" applyFont="1" applyFill="1" applyBorder="1" applyAlignment="1">
      <alignment horizontal="center" vertical="top"/>
    </xf>
    <xf numFmtId="164" fontId="7" fillId="10" borderId="22" xfId="2" applyNumberFormat="1" applyFont="1" applyFill="1" applyBorder="1" applyAlignment="1">
      <alignment horizontal="center" vertical="top"/>
    </xf>
    <xf numFmtId="164" fontId="7" fillId="2" borderId="22" xfId="2" applyNumberFormat="1" applyFont="1" applyFill="1" applyBorder="1" applyAlignment="1">
      <alignment horizontal="center" vertical="top"/>
    </xf>
    <xf numFmtId="164" fontId="7" fillId="2" borderId="23" xfId="2" applyNumberFormat="1" applyFont="1" applyFill="1" applyBorder="1" applyAlignment="1">
      <alignment horizontal="center" vertical="top"/>
    </xf>
    <xf numFmtId="164" fontId="7" fillId="2" borderId="24" xfId="2" applyNumberFormat="1" applyFont="1" applyFill="1" applyBorder="1" applyAlignment="1">
      <alignment horizontal="center" vertical="top" wrapText="1"/>
    </xf>
    <xf numFmtId="0" fontId="3" fillId="2" borderId="19" xfId="2" applyFont="1" applyFill="1" applyBorder="1" applyAlignment="1">
      <alignment horizontal="center"/>
    </xf>
    <xf numFmtId="164" fontId="7" fillId="9" borderId="26" xfId="2" applyNumberFormat="1" applyFont="1" applyFill="1" applyBorder="1" applyAlignment="1">
      <alignment horizontal="center" vertical="center" wrapText="1"/>
    </xf>
    <xf numFmtId="164" fontId="7" fillId="9" borderId="5" xfId="2" applyNumberFormat="1" applyFont="1" applyFill="1" applyBorder="1" applyAlignment="1">
      <alignment horizontal="center" vertical="top" wrapText="1"/>
    </xf>
    <xf numFmtId="164" fontId="7" fillId="9" borderId="27" xfId="2" applyNumberFormat="1" applyFont="1" applyFill="1" applyBorder="1" applyAlignment="1">
      <alignment horizontal="center" vertical="top" wrapText="1"/>
    </xf>
    <xf numFmtId="164" fontId="7" fillId="9" borderId="2" xfId="2" applyNumberFormat="1" applyFont="1" applyFill="1" applyBorder="1" applyAlignment="1">
      <alignment horizontal="center" vertical="top" wrapText="1"/>
    </xf>
    <xf numFmtId="0" fontId="3" fillId="9" borderId="6" xfId="2" applyFon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 vertical="top" wrapText="1"/>
    </xf>
    <xf numFmtId="164" fontId="1" fillId="9" borderId="9" xfId="2" applyNumberFormat="1" applyFill="1" applyBorder="1" applyAlignment="1">
      <alignment horizontal="center" vertical="top" wrapText="1"/>
    </xf>
    <xf numFmtId="164" fontId="1" fillId="5" borderId="8" xfId="2" applyNumberFormat="1" applyFill="1" applyBorder="1" applyAlignment="1">
      <alignment horizontal="center" vertical="top" wrapText="1"/>
    </xf>
    <xf numFmtId="164" fontId="7" fillId="9" borderId="9" xfId="2" applyNumberFormat="1" applyFont="1" applyFill="1" applyBorder="1" applyAlignment="1">
      <alignment horizontal="center" vertical="top" wrapText="1"/>
    </xf>
    <xf numFmtId="164" fontId="1" fillId="9" borderId="8" xfId="2" applyNumberFormat="1" applyFill="1" applyBorder="1" applyAlignment="1">
      <alignment horizontal="center" vertical="top" wrapText="1"/>
    </xf>
    <xf numFmtId="164" fontId="7" fillId="9" borderId="10" xfId="2" applyNumberFormat="1" applyFont="1" applyFill="1" applyBorder="1" applyAlignment="1">
      <alignment horizontal="center" vertical="top" wrapText="1"/>
    </xf>
    <xf numFmtId="164" fontId="7" fillId="9" borderId="7" xfId="2" applyNumberFormat="1" applyFont="1" applyFill="1" applyBorder="1" applyAlignment="1">
      <alignment horizontal="center" vertical="top" wrapText="1"/>
    </xf>
    <xf numFmtId="0" fontId="3" fillId="9" borderId="12" xfId="2" applyFont="1" applyFill="1" applyBorder="1" applyAlignment="1">
      <alignment horizontal="center"/>
    </xf>
    <xf numFmtId="164" fontId="1" fillId="7" borderId="8" xfId="2" applyNumberFormat="1" applyFill="1" applyBorder="1" applyAlignment="1">
      <alignment horizontal="center" vertical="top" wrapText="1"/>
    </xf>
    <xf numFmtId="164" fontId="7" fillId="9" borderId="8" xfId="2" applyNumberFormat="1" applyFont="1" applyFill="1" applyBorder="1" applyAlignment="1">
      <alignment horizontal="center" vertical="top" wrapText="1"/>
    </xf>
    <xf numFmtId="164" fontId="7" fillId="9" borderId="14" xfId="2" applyNumberFormat="1" applyFont="1" applyFill="1" applyBorder="1" applyAlignment="1">
      <alignment horizontal="center" vertical="top"/>
    </xf>
    <xf numFmtId="164" fontId="1" fillId="8" borderId="22" xfId="2" applyNumberFormat="1" applyFill="1" applyBorder="1" applyAlignment="1">
      <alignment horizontal="center" vertical="top"/>
    </xf>
    <xf numFmtId="164" fontId="7" fillId="9" borderId="21" xfId="2" applyNumberFormat="1" applyFont="1" applyFill="1" applyBorder="1" applyAlignment="1">
      <alignment horizontal="center" vertical="top"/>
    </xf>
    <xf numFmtId="164" fontId="7" fillId="9" borderId="22" xfId="2" applyNumberFormat="1" applyFont="1" applyFill="1" applyBorder="1" applyAlignment="1">
      <alignment horizontal="center" vertical="top"/>
    </xf>
    <xf numFmtId="164" fontId="7" fillId="9" borderId="24" xfId="2" applyNumberFormat="1" applyFont="1" applyFill="1" applyBorder="1" applyAlignment="1">
      <alignment horizontal="center" vertical="top" wrapText="1"/>
    </xf>
    <xf numFmtId="0" fontId="3" fillId="9" borderId="19" xfId="2" applyFont="1" applyFill="1" applyBorder="1" applyAlignment="1">
      <alignment horizontal="center"/>
    </xf>
    <xf numFmtId="164" fontId="7" fillId="2" borderId="26" xfId="2" applyNumberFormat="1" applyFont="1" applyFill="1" applyBorder="1" applyAlignment="1">
      <alignment horizontal="center" vertical="center" wrapText="1"/>
    </xf>
    <xf numFmtId="164" fontId="1" fillId="2" borderId="12" xfId="2" applyNumberFormat="1" applyFill="1" applyBorder="1" applyAlignment="1">
      <alignment horizontal="center" vertical="top" wrapText="1"/>
    </xf>
    <xf numFmtId="164" fontId="7" fillId="2" borderId="9" xfId="2" applyNumberFormat="1" applyFont="1" applyFill="1" applyBorder="1" applyAlignment="1">
      <alignment horizontal="center" vertical="center" wrapText="1"/>
    </xf>
    <xf numFmtId="164" fontId="7" fillId="5" borderId="8" xfId="2" applyNumberFormat="1" applyFont="1" applyFill="1" applyBorder="1" applyAlignment="1">
      <alignment horizontal="center" vertical="top"/>
    </xf>
    <xf numFmtId="164" fontId="1" fillId="2" borderId="9" xfId="2" applyNumberFormat="1" applyFill="1" applyBorder="1" applyAlignment="1">
      <alignment horizontal="center" vertical="center" wrapText="1"/>
    </xf>
    <xf numFmtId="164" fontId="1" fillId="2" borderId="19" xfId="2" applyNumberFormat="1" applyFill="1" applyBorder="1" applyAlignment="1">
      <alignment horizontal="center" vertical="top"/>
    </xf>
    <xf numFmtId="164" fontId="1" fillId="8" borderId="8" xfId="2" applyNumberFormat="1" applyFill="1" applyBorder="1" applyAlignment="1">
      <alignment horizontal="center" vertical="top"/>
    </xf>
    <xf numFmtId="164" fontId="7" fillId="10" borderId="16" xfId="2" applyNumberFormat="1" applyFont="1" applyFill="1" applyBorder="1" applyAlignment="1">
      <alignment horizontal="center" vertical="top"/>
    </xf>
    <xf numFmtId="164" fontId="7" fillId="9" borderId="27" xfId="2" applyNumberFormat="1" applyFont="1" applyFill="1" applyBorder="1" applyAlignment="1">
      <alignment horizontal="center" vertical="center" wrapText="1"/>
    </xf>
    <xf numFmtId="164" fontId="7" fillId="9" borderId="28" xfId="2" applyNumberFormat="1" applyFont="1" applyFill="1" applyBorder="1" applyAlignment="1">
      <alignment horizontal="center" vertical="top" wrapText="1"/>
    </xf>
    <xf numFmtId="164" fontId="7" fillId="9" borderId="9" xfId="2" applyNumberFormat="1" applyFont="1" applyFill="1" applyBorder="1" applyAlignment="1">
      <alignment horizontal="center" vertical="center" wrapText="1"/>
    </xf>
    <xf numFmtId="164" fontId="7" fillId="9" borderId="8" xfId="2" applyNumberFormat="1" applyFont="1" applyFill="1" applyBorder="1" applyAlignment="1">
      <alignment horizontal="center" vertical="top"/>
    </xf>
    <xf numFmtId="164" fontId="7" fillId="9" borderId="16" xfId="2" applyNumberFormat="1" applyFont="1" applyFill="1" applyBorder="1" applyAlignment="1">
      <alignment horizontal="center" vertical="top"/>
    </xf>
    <xf numFmtId="164" fontId="4" fillId="4" borderId="0" xfId="2" applyNumberFormat="1" applyFont="1" applyFill="1" applyAlignment="1">
      <alignment horizontal="center" vertical="top" wrapText="1"/>
    </xf>
    <xf numFmtId="164" fontId="7" fillId="9" borderId="20" xfId="2" applyNumberFormat="1" applyFont="1" applyFill="1" applyBorder="1" applyAlignment="1">
      <alignment horizontal="center" vertical="top"/>
    </xf>
    <xf numFmtId="164" fontId="7" fillId="9" borderId="3" xfId="2" applyNumberFormat="1" applyFont="1" applyFill="1" applyBorder="1" applyAlignment="1">
      <alignment horizontal="center" vertical="top"/>
    </xf>
    <xf numFmtId="164" fontId="7" fillId="9" borderId="4" xfId="2" applyNumberFormat="1" applyFont="1" applyFill="1" applyBorder="1" applyAlignment="1">
      <alignment horizontal="center" vertical="top"/>
    </xf>
    <xf numFmtId="0" fontId="3" fillId="9" borderId="1" xfId="2" applyFont="1" applyFill="1" applyBorder="1" applyAlignment="1">
      <alignment horizontal="center"/>
    </xf>
    <xf numFmtId="164" fontId="1" fillId="5" borderId="9" xfId="2" applyNumberFormat="1" applyFill="1" applyBorder="1" applyAlignment="1">
      <alignment horizontal="center" vertical="center" wrapText="1"/>
    </xf>
    <xf numFmtId="164" fontId="7" fillId="10" borderId="14" xfId="2" applyNumberFormat="1" applyFont="1" applyFill="1" applyBorder="1" applyAlignment="1">
      <alignment horizontal="center" vertical="top"/>
    </xf>
    <xf numFmtId="164" fontId="7" fillId="2" borderId="27" xfId="2" applyNumberFormat="1" applyFont="1" applyFill="1" applyBorder="1" applyAlignment="1">
      <alignment horizontal="center" vertical="center" wrapText="1"/>
    </xf>
    <xf numFmtId="164" fontId="7" fillId="2" borderId="5" xfId="2" applyNumberFormat="1" applyFont="1" applyFill="1" applyBorder="1" applyAlignment="1">
      <alignment horizontal="center" vertical="top" wrapText="1"/>
    </xf>
    <xf numFmtId="164" fontId="7" fillId="2" borderId="27" xfId="2" applyNumberFormat="1" applyFont="1" applyFill="1" applyBorder="1" applyAlignment="1">
      <alignment horizontal="center" vertical="top" wrapText="1"/>
    </xf>
    <xf numFmtId="164" fontId="7" fillId="2" borderId="28" xfId="2" applyNumberFormat="1" applyFont="1" applyFill="1" applyBorder="1" applyAlignment="1">
      <alignment horizontal="center" vertical="top" wrapText="1"/>
    </xf>
    <xf numFmtId="0" fontId="3" fillId="2" borderId="6" xfId="2" applyFont="1" applyFill="1" applyBorder="1" applyAlignment="1">
      <alignment horizontal="center"/>
    </xf>
    <xf numFmtId="164" fontId="7" fillId="2" borderId="8" xfId="2" applyNumberFormat="1" applyFont="1" applyFill="1" applyBorder="1" applyAlignment="1">
      <alignment horizontal="center" vertical="top"/>
    </xf>
    <xf numFmtId="164" fontId="4" fillId="2" borderId="0" xfId="2" applyNumberFormat="1" applyFont="1" applyFill="1" applyAlignment="1">
      <alignment horizontal="center" vertical="top" wrapText="1"/>
    </xf>
    <xf numFmtId="164" fontId="7" fillId="9" borderId="7" xfId="2" applyNumberFormat="1" applyFont="1" applyFill="1" applyBorder="1" applyAlignment="1">
      <alignment horizontal="center" vertical="center" wrapText="1"/>
    </xf>
    <xf numFmtId="164" fontId="7" fillId="9" borderId="11" xfId="2" applyNumberFormat="1" applyFont="1" applyFill="1" applyBorder="1" applyAlignment="1">
      <alignment horizontal="center" vertical="top" wrapText="1"/>
    </xf>
    <xf numFmtId="164" fontId="7" fillId="2" borderId="29" xfId="2" applyNumberFormat="1" applyFont="1" applyFill="1" applyBorder="1" applyAlignment="1">
      <alignment horizontal="center" vertical="top"/>
    </xf>
    <xf numFmtId="164" fontId="7" fillId="9" borderId="30" xfId="2" applyNumberFormat="1" applyFont="1" applyFill="1" applyBorder="1" applyAlignment="1">
      <alignment horizontal="center" vertical="top" wrapText="1"/>
    </xf>
    <xf numFmtId="164" fontId="7" fillId="9" borderId="16" xfId="2" applyNumberFormat="1" applyFont="1" applyFill="1" applyBorder="1" applyAlignment="1">
      <alignment horizontal="center" vertical="top" wrapText="1"/>
    </xf>
    <xf numFmtId="164" fontId="7" fillId="10" borderId="16" xfId="2" applyNumberFormat="1" applyFont="1" applyFill="1" applyBorder="1" applyAlignment="1">
      <alignment horizontal="center" vertical="top" wrapText="1"/>
    </xf>
    <xf numFmtId="0" fontId="8" fillId="11" borderId="31" xfId="2" applyFont="1" applyFill="1" applyBorder="1" applyAlignment="1">
      <alignment horizontal="center" vertical="center" wrapText="1"/>
    </xf>
    <xf numFmtId="0" fontId="8" fillId="11" borderId="0" xfId="2" applyFont="1" applyFill="1" applyAlignment="1">
      <alignment horizontal="center" vertical="center" wrapText="1"/>
    </xf>
    <xf numFmtId="0" fontId="7" fillId="11" borderId="0" xfId="2" applyFont="1" applyFill="1" applyAlignment="1">
      <alignment horizontal="center"/>
    </xf>
    <xf numFmtId="0" fontId="9" fillId="11" borderId="0" xfId="2" applyFont="1" applyFill="1" applyAlignment="1">
      <alignment horizontal="center"/>
    </xf>
    <xf numFmtId="0" fontId="10" fillId="11" borderId="32" xfId="2" applyFont="1" applyFill="1" applyBorder="1"/>
    <xf numFmtId="0" fontId="6" fillId="0" borderId="31" xfId="2" applyFont="1" applyBorder="1" applyAlignment="1">
      <alignment horizontal="center"/>
    </xf>
    <xf numFmtId="0" fontId="6" fillId="0" borderId="33" xfId="2" applyFont="1" applyBorder="1" applyAlignment="1">
      <alignment horizontal="center"/>
    </xf>
    <xf numFmtId="0" fontId="8" fillId="11" borderId="6" xfId="2" applyFont="1" applyFill="1" applyBorder="1" applyAlignment="1">
      <alignment horizontal="center" vertical="center" wrapText="1"/>
    </xf>
    <xf numFmtId="0" fontId="11" fillId="11" borderId="31" xfId="2" applyFont="1" applyFill="1" applyBorder="1" applyAlignment="1">
      <alignment horizontal="center" vertical="center" wrapText="1"/>
    </xf>
    <xf numFmtId="0" fontId="12" fillId="10" borderId="31" xfId="2" applyFont="1" applyFill="1" applyBorder="1" applyAlignment="1">
      <alignment horizontal="center" vertical="center" wrapText="1"/>
    </xf>
    <xf numFmtId="0" fontId="13" fillId="2" borderId="36" xfId="2" applyFont="1" applyFill="1" applyBorder="1" applyAlignment="1">
      <alignment horizontal="center" vertical="center"/>
    </xf>
    <xf numFmtId="0" fontId="13" fillId="2" borderId="37" xfId="2" applyFont="1" applyFill="1" applyBorder="1" applyAlignment="1">
      <alignment horizontal="center" vertical="center"/>
    </xf>
    <xf numFmtId="0" fontId="12" fillId="8" borderId="36" xfId="2" applyFont="1" applyFill="1" applyBorder="1" applyAlignment="1">
      <alignment horizontal="center" vertical="center" wrapText="1"/>
    </xf>
    <xf numFmtId="0" fontId="12" fillId="8" borderId="37" xfId="2" applyFont="1" applyFill="1" applyBorder="1" applyAlignment="1">
      <alignment horizontal="center" vertical="center" wrapText="1"/>
    </xf>
    <xf numFmtId="0" fontId="12" fillId="7" borderId="36" xfId="2" applyFont="1" applyFill="1" applyBorder="1" applyAlignment="1">
      <alignment horizontal="center" vertical="center" wrapText="1"/>
    </xf>
    <xf numFmtId="0" fontId="12" fillId="7" borderId="37" xfId="2" applyFont="1" applyFill="1" applyBorder="1" applyAlignment="1">
      <alignment horizontal="center" vertical="center" wrapText="1"/>
    </xf>
    <xf numFmtId="0" fontId="12" fillId="6" borderId="36" xfId="2" applyFont="1" applyFill="1" applyBorder="1" applyAlignment="1">
      <alignment horizontal="center" vertical="center" wrapText="1"/>
    </xf>
    <xf numFmtId="0" fontId="12" fillId="6" borderId="37" xfId="2" applyFont="1" applyFill="1" applyBorder="1" applyAlignment="1">
      <alignment horizontal="center" vertical="center" wrapText="1"/>
    </xf>
    <xf numFmtId="0" fontId="12" fillId="5" borderId="33" xfId="2" applyFont="1" applyFill="1" applyBorder="1" applyAlignment="1">
      <alignment horizontal="center" vertical="center" wrapText="1"/>
    </xf>
    <xf numFmtId="0" fontId="11" fillId="4" borderId="36" xfId="2" applyFont="1" applyFill="1" applyBorder="1" applyAlignment="1">
      <alignment horizontal="center" vertical="center" wrapText="1"/>
    </xf>
    <xf numFmtId="0" fontId="11" fillId="4" borderId="37" xfId="2" applyFont="1" applyFill="1" applyBorder="1" applyAlignment="1">
      <alignment horizontal="center" vertical="center" wrapText="1"/>
    </xf>
    <xf numFmtId="0" fontId="3" fillId="9" borderId="25" xfId="2" applyFont="1" applyFill="1" applyBorder="1" applyAlignment="1">
      <alignment horizontal="center" vertical="center"/>
    </xf>
    <xf numFmtId="0" fontId="3" fillId="9" borderId="13" xfId="2" applyFont="1" applyFill="1" applyBorder="1" applyAlignment="1">
      <alignment horizontal="center" vertical="center"/>
    </xf>
    <xf numFmtId="0" fontId="3" fillId="9" borderId="6" xfId="2" applyFont="1" applyFill="1" applyBorder="1" applyAlignment="1">
      <alignment horizontal="center" vertical="center"/>
    </xf>
    <xf numFmtId="0" fontId="6" fillId="0" borderId="36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0" fontId="6" fillId="0" borderId="34" xfId="2" applyFont="1" applyBorder="1" applyAlignment="1">
      <alignment horizontal="center"/>
    </xf>
    <xf numFmtId="0" fontId="6" fillId="0" borderId="33" xfId="2" applyFont="1" applyBorder="1" applyAlignment="1">
      <alignment horizontal="center"/>
    </xf>
    <xf numFmtId="0" fontId="3" fillId="2" borderId="25" xfId="2" applyFont="1" applyFill="1" applyBorder="1" applyAlignment="1">
      <alignment horizontal="center" vertical="center"/>
    </xf>
    <xf numFmtId="0" fontId="3" fillId="2" borderId="13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8269060C-E559-4368-B62C-16EC8B1AA6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0587-8EDC-42D0-9E1C-BE991868DB4E}">
  <dimension ref="A1:D1"/>
  <sheetViews>
    <sheetView workbookViewId="0"/>
  </sheetViews>
  <sheetFormatPr defaultRowHeight="15" x14ac:dyDescent="0.25"/>
  <sheetData>
    <row r="1" spans="1:4" x14ac:dyDescent="0.25">
      <c r="A1" t="s">
        <v>29</v>
      </c>
      <c r="B1" t="s">
        <v>30</v>
      </c>
      <c r="C1" t="s">
        <v>31</v>
      </c>
      <c r="D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142B-21FF-4CFB-B12E-13B365FA3E46}">
  <sheetPr>
    <pageSetUpPr fitToPage="1"/>
  </sheetPr>
  <dimension ref="B1:U76"/>
  <sheetViews>
    <sheetView tabSelected="1" zoomScaleNormal="100"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H6" sqref="H6"/>
    </sheetView>
  </sheetViews>
  <sheetFormatPr defaultColWidth="15.5703125" defaultRowHeight="15" customHeight="1" x14ac:dyDescent="0.25"/>
  <cols>
    <col min="1" max="1" width="1.140625" style="1" customWidth="1"/>
    <col min="2" max="2" width="15.42578125" style="6" customWidth="1"/>
    <col min="3" max="3" width="10.5703125" style="5" customWidth="1"/>
    <col min="4" max="4" width="14.7109375" style="4" customWidth="1"/>
    <col min="5" max="13" width="7.7109375" style="4" customWidth="1"/>
    <col min="14" max="14" width="9.5703125" style="4" customWidth="1"/>
    <col min="15" max="15" width="14.7109375" style="4" customWidth="1"/>
    <col min="16" max="16" width="2" style="3" customWidth="1"/>
    <col min="17" max="17" width="1.28515625" style="3" customWidth="1"/>
    <col min="18" max="20" width="15.5703125" style="3"/>
    <col min="21" max="21" width="15.5703125" style="2"/>
    <col min="22" max="16384" width="15.5703125" style="1"/>
  </cols>
  <sheetData>
    <row r="1" spans="2:21" ht="5.25" customHeight="1" thickBot="1" x14ac:dyDescent="0.3"/>
    <row r="2" spans="2:21" ht="45" customHeight="1" thickBot="1" x14ac:dyDescent="0.3">
      <c r="B2" s="119" t="s">
        <v>33</v>
      </c>
      <c r="C2" s="120"/>
      <c r="D2" s="118" t="s">
        <v>28</v>
      </c>
      <c r="E2" s="121" t="s">
        <v>27</v>
      </c>
      <c r="F2" s="122"/>
      <c r="G2" s="123" t="s">
        <v>26</v>
      </c>
      <c r="H2" s="124"/>
      <c r="I2" s="125" t="s">
        <v>25</v>
      </c>
      <c r="J2" s="126"/>
      <c r="K2" s="127" t="s">
        <v>24</v>
      </c>
      <c r="L2" s="127"/>
      <c r="M2" s="128" t="s">
        <v>23</v>
      </c>
      <c r="N2" s="129"/>
      <c r="O2" s="117" t="s">
        <v>22</v>
      </c>
    </row>
    <row r="3" spans="2:21" s="12" customFormat="1" ht="4.9000000000000004" customHeight="1" thickBot="1" x14ac:dyDescent="0.5">
      <c r="B3" s="113"/>
      <c r="C3" s="112"/>
      <c r="D3" s="111"/>
      <c r="E3" s="111"/>
      <c r="F3" s="111"/>
      <c r="G3" s="111"/>
      <c r="H3" s="111"/>
      <c r="I3" s="110"/>
      <c r="J3" s="110"/>
      <c r="K3" s="110"/>
      <c r="L3" s="110"/>
      <c r="M3" s="110"/>
      <c r="N3" s="110"/>
      <c r="O3" s="116"/>
      <c r="P3" s="15"/>
      <c r="Q3" s="3"/>
      <c r="R3" s="14"/>
      <c r="S3" s="14"/>
      <c r="T3" s="14"/>
      <c r="U3" s="13"/>
    </row>
    <row r="4" spans="2:21" ht="21.75" customHeight="1" thickBot="1" x14ac:dyDescent="0.3">
      <c r="B4" s="114" t="s">
        <v>21</v>
      </c>
      <c r="C4" s="114" t="s">
        <v>20</v>
      </c>
      <c r="D4" s="115" t="s">
        <v>19</v>
      </c>
      <c r="E4" s="133" t="s">
        <v>18</v>
      </c>
      <c r="F4" s="134"/>
      <c r="G4" s="135" t="s">
        <v>17</v>
      </c>
      <c r="H4" s="134"/>
      <c r="I4" s="135" t="s">
        <v>16</v>
      </c>
      <c r="J4" s="134"/>
      <c r="K4" s="135" t="s">
        <v>15</v>
      </c>
      <c r="L4" s="134"/>
      <c r="M4" s="135" t="s">
        <v>14</v>
      </c>
      <c r="N4" s="136"/>
      <c r="O4" s="114" t="s">
        <v>13</v>
      </c>
      <c r="P4" s="14"/>
    </row>
    <row r="5" spans="2:21" s="12" customFormat="1" ht="4.9000000000000004" customHeight="1" thickBot="1" x14ac:dyDescent="0.5">
      <c r="B5" s="113"/>
      <c r="C5" s="112"/>
      <c r="D5" s="111"/>
      <c r="E5" s="111"/>
      <c r="F5" s="111"/>
      <c r="G5" s="111"/>
      <c r="H5" s="111"/>
      <c r="I5" s="110"/>
      <c r="J5" s="110"/>
      <c r="K5" s="110"/>
      <c r="L5" s="110"/>
      <c r="M5" s="110"/>
      <c r="N5" s="110"/>
      <c r="O5" s="109"/>
      <c r="P5" s="15"/>
      <c r="Q5" s="3"/>
      <c r="R5" s="14"/>
      <c r="S5" s="14"/>
      <c r="T5" s="14"/>
      <c r="U5" s="13"/>
    </row>
    <row r="6" spans="2:21" ht="14.45" customHeight="1" x14ac:dyDescent="0.25">
      <c r="B6" s="130" t="s">
        <v>12</v>
      </c>
      <c r="C6" s="75">
        <v>1</v>
      </c>
      <c r="D6" s="74">
        <v>46019</v>
      </c>
      <c r="E6" s="107">
        <f>D6+1</f>
        <v>46020</v>
      </c>
      <c r="F6" s="70"/>
      <c r="G6" s="107">
        <f>E6+1</f>
        <v>46021</v>
      </c>
      <c r="H6" s="106"/>
      <c r="I6" s="108">
        <f>G6+1</f>
        <v>46022</v>
      </c>
      <c r="J6" s="106"/>
      <c r="K6" s="88">
        <f>I6+1</f>
        <v>46023</v>
      </c>
      <c r="L6" s="89"/>
      <c r="M6" s="82">
        <f>K6+1</f>
        <v>46024</v>
      </c>
      <c r="N6" s="70" t="s">
        <v>0</v>
      </c>
      <c r="O6" s="81">
        <f>M6+1</f>
        <v>46025</v>
      </c>
    </row>
    <row r="7" spans="2:21" ht="14.45" customHeight="1" x14ac:dyDescent="0.25">
      <c r="B7" s="131"/>
      <c r="C7" s="67">
        <f t="shared" ref="C7:C38" si="0">C6+1</f>
        <v>2</v>
      </c>
      <c r="D7" s="66">
        <f t="shared" ref="D7:D38" si="1">D6+7</f>
        <v>46026</v>
      </c>
      <c r="E7" s="107">
        <f t="shared" ref="E7:E38" si="2">E6+7</f>
        <v>46027</v>
      </c>
      <c r="F7" s="106"/>
      <c r="G7" s="107">
        <f t="shared" ref="G7:G38" si="3">G6+7</f>
        <v>46028</v>
      </c>
      <c r="H7" s="106"/>
      <c r="I7" s="107">
        <f t="shared" ref="I7:I13" si="4">I6+7</f>
        <v>46029</v>
      </c>
      <c r="J7" s="106"/>
      <c r="K7" s="107">
        <f t="shared" ref="K7:K13" si="5">K6+7</f>
        <v>46030</v>
      </c>
      <c r="L7" s="61"/>
      <c r="M7" s="68">
        <f t="shared" ref="M7:M38" si="6">M6+7</f>
        <v>46031</v>
      </c>
      <c r="N7" s="61"/>
      <c r="O7" s="60">
        <f t="shared" ref="O7:O13" si="7">O6+7</f>
        <v>46032</v>
      </c>
    </row>
    <row r="8" spans="2:21" ht="15" customHeight="1" x14ac:dyDescent="0.25">
      <c r="B8" s="131"/>
      <c r="C8" s="67">
        <f t="shared" si="0"/>
        <v>3</v>
      </c>
      <c r="D8" s="66">
        <f t="shared" si="1"/>
        <v>46033</v>
      </c>
      <c r="E8" s="65">
        <f t="shared" si="2"/>
        <v>46034</v>
      </c>
      <c r="F8" s="65"/>
      <c r="G8" s="64">
        <f t="shared" si="3"/>
        <v>46035</v>
      </c>
      <c r="H8" s="61"/>
      <c r="I8" s="64">
        <f t="shared" si="4"/>
        <v>46036</v>
      </c>
      <c r="J8" s="106"/>
      <c r="K8" s="64">
        <f t="shared" si="5"/>
        <v>46037</v>
      </c>
      <c r="L8" s="61"/>
      <c r="M8" s="79">
        <f t="shared" si="6"/>
        <v>46038</v>
      </c>
      <c r="N8" s="61" t="s">
        <v>0</v>
      </c>
      <c r="O8" s="60">
        <f t="shared" si="7"/>
        <v>46039</v>
      </c>
    </row>
    <row r="9" spans="2:21" ht="14.45" customHeight="1" thickBot="1" x14ac:dyDescent="0.3">
      <c r="B9" s="132"/>
      <c r="C9" s="93">
        <f t="shared" si="0"/>
        <v>4</v>
      </c>
      <c r="D9" s="58">
        <f t="shared" si="1"/>
        <v>46040</v>
      </c>
      <c r="E9" s="39">
        <f t="shared" si="2"/>
        <v>46041</v>
      </c>
      <c r="F9" s="92"/>
      <c r="G9" s="91">
        <f t="shared" si="3"/>
        <v>46042</v>
      </c>
      <c r="H9" s="92"/>
      <c r="I9" s="39">
        <f t="shared" si="4"/>
        <v>46043</v>
      </c>
      <c r="J9" s="92"/>
      <c r="K9" s="91">
        <f t="shared" si="5"/>
        <v>46044</v>
      </c>
      <c r="L9" s="92"/>
      <c r="M9" s="91">
        <f t="shared" si="6"/>
        <v>46045</v>
      </c>
      <c r="N9" s="55"/>
      <c r="O9" s="21">
        <f t="shared" si="7"/>
        <v>46046</v>
      </c>
      <c r="R9" s="20">
        <f>+D6</f>
        <v>46019</v>
      </c>
      <c r="S9" s="20">
        <f>+O9</f>
        <v>46046</v>
      </c>
      <c r="U9" s="2">
        <f>+S9-R9+1</f>
        <v>28</v>
      </c>
    </row>
    <row r="10" spans="2:21" ht="14.45" customHeight="1" x14ac:dyDescent="0.25">
      <c r="B10" s="137" t="s">
        <v>11</v>
      </c>
      <c r="C10" s="54">
        <f t="shared" si="0"/>
        <v>5</v>
      </c>
      <c r="D10" s="53">
        <f t="shared" si="1"/>
        <v>46047</v>
      </c>
      <c r="E10" s="38">
        <f t="shared" si="2"/>
        <v>46048</v>
      </c>
      <c r="F10" s="38"/>
      <c r="G10" s="44">
        <f t="shared" si="3"/>
        <v>46049</v>
      </c>
      <c r="H10" s="38"/>
      <c r="I10" s="83">
        <f t="shared" si="4"/>
        <v>46050</v>
      </c>
      <c r="J10" s="38"/>
      <c r="K10" s="44">
        <f t="shared" si="5"/>
        <v>46051</v>
      </c>
      <c r="L10" s="38"/>
      <c r="M10" s="82">
        <f t="shared" si="6"/>
        <v>46052</v>
      </c>
      <c r="N10" s="80" t="s">
        <v>0</v>
      </c>
      <c r="O10" s="81">
        <f t="shared" si="7"/>
        <v>46053</v>
      </c>
    </row>
    <row r="11" spans="2:21" ht="14.45" customHeight="1" x14ac:dyDescent="0.25">
      <c r="B11" s="138"/>
      <c r="C11" s="35">
        <f t="shared" si="0"/>
        <v>6</v>
      </c>
      <c r="D11" s="34">
        <f t="shared" si="1"/>
        <v>46054</v>
      </c>
      <c r="E11" s="33">
        <f t="shared" si="2"/>
        <v>46055</v>
      </c>
      <c r="F11" s="40"/>
      <c r="G11" s="37">
        <f t="shared" si="3"/>
        <v>46056</v>
      </c>
      <c r="H11" s="40"/>
      <c r="I11" s="37">
        <f t="shared" si="4"/>
        <v>46057</v>
      </c>
      <c r="J11" s="40"/>
      <c r="K11" s="37">
        <f t="shared" si="5"/>
        <v>46058</v>
      </c>
      <c r="L11" s="31"/>
      <c r="M11" s="68">
        <f t="shared" si="6"/>
        <v>46059</v>
      </c>
      <c r="N11" s="80"/>
      <c r="O11" s="77">
        <f t="shared" si="7"/>
        <v>46060</v>
      </c>
    </row>
    <row r="12" spans="2:21" ht="15" customHeight="1" x14ac:dyDescent="0.25">
      <c r="B12" s="138"/>
      <c r="C12" s="35">
        <f t="shared" si="0"/>
        <v>7</v>
      </c>
      <c r="D12" s="34">
        <f t="shared" si="1"/>
        <v>46061</v>
      </c>
      <c r="E12" s="39">
        <f t="shared" si="2"/>
        <v>46062</v>
      </c>
      <c r="F12" s="32"/>
      <c r="G12" s="30">
        <f t="shared" si="3"/>
        <v>46063</v>
      </c>
      <c r="H12" s="31"/>
      <c r="I12" s="39">
        <f t="shared" si="4"/>
        <v>46064</v>
      </c>
      <c r="J12" s="40"/>
      <c r="K12" s="30">
        <f t="shared" si="5"/>
        <v>46065</v>
      </c>
      <c r="L12" s="31"/>
      <c r="M12" s="62">
        <f t="shared" si="6"/>
        <v>46066</v>
      </c>
      <c r="N12" s="80" t="s">
        <v>0</v>
      </c>
      <c r="O12" s="77">
        <f t="shared" si="7"/>
        <v>46067</v>
      </c>
    </row>
    <row r="13" spans="2:21" ht="14.45" customHeight="1" thickBot="1" x14ac:dyDescent="0.3">
      <c r="B13" s="139"/>
      <c r="C13" s="27">
        <f t="shared" si="0"/>
        <v>8</v>
      </c>
      <c r="D13" s="26">
        <f t="shared" si="1"/>
        <v>46068</v>
      </c>
      <c r="E13" s="105">
        <f t="shared" si="2"/>
        <v>46069</v>
      </c>
      <c r="F13" s="24"/>
      <c r="G13" s="23">
        <f t="shared" si="3"/>
        <v>46070</v>
      </c>
      <c r="H13" s="24"/>
      <c r="I13" s="23">
        <f t="shared" si="4"/>
        <v>46071</v>
      </c>
      <c r="J13" s="24"/>
      <c r="K13" s="23">
        <f t="shared" si="5"/>
        <v>46072</v>
      </c>
      <c r="L13" s="24"/>
      <c r="M13" s="23">
        <f t="shared" si="6"/>
        <v>46073</v>
      </c>
      <c r="N13" s="76"/>
      <c r="O13" s="21">
        <f t="shared" si="7"/>
        <v>46074</v>
      </c>
      <c r="R13" s="20">
        <f>+D10</f>
        <v>46047</v>
      </c>
      <c r="S13" s="20">
        <f>+O13</f>
        <v>46074</v>
      </c>
      <c r="U13" s="2">
        <f>+S13-R13+1</f>
        <v>28</v>
      </c>
    </row>
    <row r="14" spans="2:21" ht="14.45" customHeight="1" x14ac:dyDescent="0.25">
      <c r="B14" s="130" t="s">
        <v>10</v>
      </c>
      <c r="C14" s="75">
        <f t="shared" si="0"/>
        <v>9</v>
      </c>
      <c r="D14" s="74">
        <f t="shared" si="1"/>
        <v>46075</v>
      </c>
      <c r="E14" s="70">
        <f t="shared" si="2"/>
        <v>46076</v>
      </c>
      <c r="F14" s="70"/>
      <c r="G14" s="88">
        <f t="shared" si="3"/>
        <v>46077</v>
      </c>
      <c r="H14" s="70"/>
      <c r="I14" s="95">
        <f>+I13+7</f>
        <v>46078</v>
      </c>
      <c r="J14" s="70"/>
      <c r="K14" s="88">
        <f>+K13+7</f>
        <v>46079</v>
      </c>
      <c r="L14" s="70"/>
      <c r="M14" s="82">
        <f t="shared" si="6"/>
        <v>46080</v>
      </c>
      <c r="N14" s="70" t="s">
        <v>0</v>
      </c>
      <c r="O14" s="47">
        <v>46081</v>
      </c>
    </row>
    <row r="15" spans="2:21" ht="14.45" customHeight="1" x14ac:dyDescent="0.25">
      <c r="B15" s="131"/>
      <c r="C15" s="67">
        <f t="shared" si="0"/>
        <v>10</v>
      </c>
      <c r="D15" s="66">
        <f t="shared" si="1"/>
        <v>46082</v>
      </c>
      <c r="E15" s="104">
        <f t="shared" si="2"/>
        <v>46083</v>
      </c>
      <c r="F15" s="63"/>
      <c r="G15" s="69">
        <f t="shared" si="3"/>
        <v>46084</v>
      </c>
      <c r="H15" s="63"/>
      <c r="I15" s="69">
        <f t="shared" ref="I15:I57" si="8">I14+7</f>
        <v>46085</v>
      </c>
      <c r="J15" s="63"/>
      <c r="K15" s="69">
        <f t="shared" ref="K15:K57" si="9">K14+7</f>
        <v>46086</v>
      </c>
      <c r="L15" s="63"/>
      <c r="M15" s="68">
        <f t="shared" si="6"/>
        <v>46087</v>
      </c>
      <c r="N15" s="61"/>
      <c r="O15" s="60">
        <f t="shared" ref="O15:O57" si="10">O14+7</f>
        <v>46088</v>
      </c>
    </row>
    <row r="16" spans="2:21" ht="14.45" customHeight="1" x14ac:dyDescent="0.25">
      <c r="B16" s="131"/>
      <c r="C16" s="67">
        <f t="shared" si="0"/>
        <v>11</v>
      </c>
      <c r="D16" s="66">
        <f t="shared" si="1"/>
        <v>46089</v>
      </c>
      <c r="E16" s="39">
        <f t="shared" si="2"/>
        <v>46090</v>
      </c>
      <c r="F16" s="65"/>
      <c r="G16" s="64">
        <f t="shared" si="3"/>
        <v>46091</v>
      </c>
      <c r="H16" s="61"/>
      <c r="I16" s="39">
        <f t="shared" si="8"/>
        <v>46092</v>
      </c>
      <c r="J16" s="63"/>
      <c r="K16" s="64">
        <f t="shared" si="9"/>
        <v>46093</v>
      </c>
      <c r="L16" s="61"/>
      <c r="M16" s="79">
        <f t="shared" si="6"/>
        <v>46094</v>
      </c>
      <c r="N16" s="61" t="s">
        <v>0</v>
      </c>
      <c r="O16" s="60">
        <f t="shared" si="10"/>
        <v>46095</v>
      </c>
    </row>
    <row r="17" spans="2:21" s="3" customFormat="1" ht="15" customHeight="1" x14ac:dyDescent="0.25">
      <c r="B17" s="131"/>
      <c r="C17" s="67">
        <f t="shared" si="0"/>
        <v>12</v>
      </c>
      <c r="D17" s="66">
        <f t="shared" si="1"/>
        <v>46096</v>
      </c>
      <c r="E17" s="65">
        <f t="shared" si="2"/>
        <v>46097</v>
      </c>
      <c r="F17" s="63"/>
      <c r="G17" s="69">
        <f t="shared" si="3"/>
        <v>46098</v>
      </c>
      <c r="H17" s="63"/>
      <c r="I17" s="64">
        <f t="shared" si="8"/>
        <v>46099</v>
      </c>
      <c r="J17" s="61"/>
      <c r="K17" s="88">
        <f t="shared" si="9"/>
        <v>46100</v>
      </c>
      <c r="L17" s="61"/>
      <c r="M17" s="87">
        <f t="shared" si="6"/>
        <v>46101</v>
      </c>
      <c r="N17" s="103"/>
      <c r="O17" s="60">
        <f t="shared" si="10"/>
        <v>46102</v>
      </c>
      <c r="U17" s="2"/>
    </row>
    <row r="18" spans="2:21" s="3" customFormat="1" ht="14.45" customHeight="1" thickBot="1" x14ac:dyDescent="0.3">
      <c r="B18" s="132"/>
      <c r="C18" s="59">
        <f t="shared" si="0"/>
        <v>13</v>
      </c>
      <c r="D18" s="85">
        <f t="shared" si="1"/>
        <v>46103</v>
      </c>
      <c r="E18" s="56">
        <f t="shared" si="2"/>
        <v>46104</v>
      </c>
      <c r="F18" s="57"/>
      <c r="G18" s="56">
        <f t="shared" si="3"/>
        <v>46105</v>
      </c>
      <c r="H18" s="57"/>
      <c r="I18" s="56">
        <f t="shared" si="8"/>
        <v>46106</v>
      </c>
      <c r="J18" s="57"/>
      <c r="K18" s="56">
        <f t="shared" si="9"/>
        <v>46107</v>
      </c>
      <c r="L18" s="57"/>
      <c r="M18" s="56">
        <f t="shared" si="6"/>
        <v>46108</v>
      </c>
      <c r="N18" s="84" t="s">
        <v>0</v>
      </c>
      <c r="O18" s="21">
        <f t="shared" si="10"/>
        <v>46109</v>
      </c>
      <c r="R18" s="20">
        <f>+D14</f>
        <v>46075</v>
      </c>
      <c r="S18" s="20">
        <f>+O18</f>
        <v>46109</v>
      </c>
      <c r="U18" s="2">
        <f>+S18-R18+1</f>
        <v>35</v>
      </c>
    </row>
    <row r="19" spans="2:21" s="3" customFormat="1" ht="14.45" customHeight="1" x14ac:dyDescent="0.25">
      <c r="B19" s="137" t="s">
        <v>9</v>
      </c>
      <c r="C19" s="54">
        <f t="shared" si="0"/>
        <v>14</v>
      </c>
      <c r="D19" s="53">
        <f t="shared" si="1"/>
        <v>46110</v>
      </c>
      <c r="E19" s="38">
        <f t="shared" si="2"/>
        <v>46111</v>
      </c>
      <c r="F19" s="38"/>
      <c r="G19" s="44">
        <f t="shared" si="3"/>
        <v>46112</v>
      </c>
      <c r="H19" s="38"/>
      <c r="I19" s="83">
        <f t="shared" si="8"/>
        <v>46113</v>
      </c>
      <c r="J19" s="38"/>
      <c r="K19" s="44">
        <f t="shared" si="9"/>
        <v>46114</v>
      </c>
      <c r="L19" s="38"/>
      <c r="M19" s="82">
        <f t="shared" si="6"/>
        <v>46115</v>
      </c>
      <c r="N19" s="80"/>
      <c r="O19" s="81">
        <f t="shared" si="10"/>
        <v>46116</v>
      </c>
      <c r="U19" s="2"/>
    </row>
    <row r="20" spans="2:21" s="3" customFormat="1" ht="14.45" customHeight="1" x14ac:dyDescent="0.25">
      <c r="B20" s="138"/>
      <c r="C20" s="35">
        <f t="shared" si="0"/>
        <v>15</v>
      </c>
      <c r="D20" s="34">
        <f t="shared" si="1"/>
        <v>46117</v>
      </c>
      <c r="E20" s="32">
        <f t="shared" si="2"/>
        <v>46118</v>
      </c>
      <c r="F20" s="40"/>
      <c r="G20" s="37">
        <f t="shared" si="3"/>
        <v>46119</v>
      </c>
      <c r="H20" s="40"/>
      <c r="I20" s="37">
        <f t="shared" si="8"/>
        <v>46120</v>
      </c>
      <c r="J20" s="40"/>
      <c r="K20" s="37">
        <f t="shared" si="9"/>
        <v>46121</v>
      </c>
      <c r="L20" s="40"/>
      <c r="M20" s="68">
        <f t="shared" si="6"/>
        <v>46122</v>
      </c>
      <c r="N20" s="80" t="s">
        <v>0</v>
      </c>
      <c r="O20" s="77">
        <f t="shared" si="10"/>
        <v>46123</v>
      </c>
      <c r="U20" s="2"/>
    </row>
    <row r="21" spans="2:21" s="3" customFormat="1" ht="15" customHeight="1" x14ac:dyDescent="0.25">
      <c r="B21" s="138"/>
      <c r="C21" s="35">
        <f t="shared" si="0"/>
        <v>16</v>
      </c>
      <c r="D21" s="34">
        <f t="shared" si="1"/>
        <v>46124</v>
      </c>
      <c r="E21" s="39">
        <f t="shared" si="2"/>
        <v>46125</v>
      </c>
      <c r="F21" s="32"/>
      <c r="G21" s="30">
        <f t="shared" si="3"/>
        <v>46126</v>
      </c>
      <c r="H21" s="31"/>
      <c r="I21" s="39">
        <f t="shared" si="8"/>
        <v>46127</v>
      </c>
      <c r="J21" s="40"/>
      <c r="K21" s="30">
        <f t="shared" si="9"/>
        <v>46128</v>
      </c>
      <c r="L21" s="31"/>
      <c r="M21" s="79">
        <f t="shared" si="6"/>
        <v>46129</v>
      </c>
      <c r="N21" s="78"/>
      <c r="O21" s="77">
        <f t="shared" si="10"/>
        <v>46130</v>
      </c>
      <c r="U21" s="2"/>
    </row>
    <row r="22" spans="2:21" s="3" customFormat="1" ht="15" customHeight="1" thickBot="1" x14ac:dyDescent="0.3">
      <c r="B22" s="139"/>
      <c r="C22" s="27">
        <f t="shared" si="0"/>
        <v>17</v>
      </c>
      <c r="D22" s="26">
        <f t="shared" si="1"/>
        <v>46131</v>
      </c>
      <c r="E22" s="24">
        <f t="shared" si="2"/>
        <v>46132</v>
      </c>
      <c r="F22" s="24"/>
      <c r="G22" s="23">
        <f t="shared" si="3"/>
        <v>46133</v>
      </c>
      <c r="H22" s="24"/>
      <c r="I22" s="23">
        <f t="shared" si="8"/>
        <v>46134</v>
      </c>
      <c r="J22" s="24"/>
      <c r="K22" s="23">
        <f t="shared" si="9"/>
        <v>46135</v>
      </c>
      <c r="L22" s="24"/>
      <c r="M22" s="23">
        <f t="shared" si="6"/>
        <v>46136</v>
      </c>
      <c r="N22" s="76" t="s">
        <v>0</v>
      </c>
      <c r="O22" s="21">
        <f t="shared" si="10"/>
        <v>46137</v>
      </c>
      <c r="R22" s="20">
        <f>+D19</f>
        <v>46110</v>
      </c>
      <c r="S22" s="20">
        <f>+O22</f>
        <v>46137</v>
      </c>
      <c r="U22" s="2">
        <f>+S22-R22+1</f>
        <v>28</v>
      </c>
    </row>
    <row r="23" spans="2:21" s="3" customFormat="1" ht="14.45" customHeight="1" x14ac:dyDescent="0.25">
      <c r="B23" s="130" t="s">
        <v>8</v>
      </c>
      <c r="C23" s="75">
        <f t="shared" si="0"/>
        <v>18</v>
      </c>
      <c r="D23" s="74">
        <f t="shared" si="1"/>
        <v>46138</v>
      </c>
      <c r="E23" s="70">
        <f t="shared" si="2"/>
        <v>46139</v>
      </c>
      <c r="F23" s="70"/>
      <c r="G23" s="88">
        <f t="shared" si="3"/>
        <v>46140</v>
      </c>
      <c r="H23" s="70"/>
      <c r="I23" s="83">
        <f t="shared" si="8"/>
        <v>46141</v>
      </c>
      <c r="J23" s="70"/>
      <c r="K23" s="88">
        <f t="shared" si="9"/>
        <v>46142</v>
      </c>
      <c r="L23" s="70"/>
      <c r="M23" s="82">
        <f t="shared" si="6"/>
        <v>46143</v>
      </c>
      <c r="N23" s="70"/>
      <c r="O23" s="47">
        <f t="shared" si="10"/>
        <v>46144</v>
      </c>
      <c r="U23" s="2"/>
    </row>
    <row r="24" spans="2:21" s="3" customFormat="1" ht="14.45" customHeight="1" x14ac:dyDescent="0.25">
      <c r="B24" s="131"/>
      <c r="C24" s="67">
        <f t="shared" si="0"/>
        <v>19</v>
      </c>
      <c r="D24" s="66">
        <f t="shared" si="1"/>
        <v>46145</v>
      </c>
      <c r="E24" s="65">
        <f t="shared" si="2"/>
        <v>46146</v>
      </c>
      <c r="F24" s="63"/>
      <c r="G24" s="69">
        <f t="shared" si="3"/>
        <v>46147</v>
      </c>
      <c r="H24" s="63"/>
      <c r="I24" s="69">
        <f t="shared" si="8"/>
        <v>46148</v>
      </c>
      <c r="J24" s="63"/>
      <c r="K24" s="69">
        <f t="shared" si="9"/>
        <v>46149</v>
      </c>
      <c r="L24" s="63"/>
      <c r="M24" s="68">
        <f t="shared" si="6"/>
        <v>46150</v>
      </c>
      <c r="N24" s="61" t="s">
        <v>0</v>
      </c>
      <c r="O24" s="60">
        <f t="shared" si="10"/>
        <v>46151</v>
      </c>
      <c r="U24" s="2"/>
    </row>
    <row r="25" spans="2:21" s="3" customFormat="1" x14ac:dyDescent="0.25">
      <c r="B25" s="131"/>
      <c r="C25" s="67">
        <f t="shared" si="0"/>
        <v>20</v>
      </c>
      <c r="D25" s="66">
        <f t="shared" si="1"/>
        <v>46152</v>
      </c>
      <c r="E25" s="39">
        <f t="shared" si="2"/>
        <v>46153</v>
      </c>
      <c r="F25" s="65"/>
      <c r="G25" s="64">
        <f t="shared" si="3"/>
        <v>46154</v>
      </c>
      <c r="H25" s="61"/>
      <c r="I25" s="39">
        <f t="shared" si="8"/>
        <v>46155</v>
      </c>
      <c r="J25" s="63"/>
      <c r="K25" s="64">
        <f t="shared" si="9"/>
        <v>46156</v>
      </c>
      <c r="L25" s="63"/>
      <c r="M25" s="79">
        <f t="shared" si="6"/>
        <v>46157</v>
      </c>
      <c r="N25" s="61"/>
      <c r="O25" s="60">
        <f t="shared" si="10"/>
        <v>46158</v>
      </c>
      <c r="U25" s="2"/>
    </row>
    <row r="26" spans="2:21" s="3" customFormat="1" ht="15.75" thickBot="1" x14ac:dyDescent="0.3">
      <c r="B26" s="132"/>
      <c r="C26" s="93">
        <f t="shared" si="0"/>
        <v>21</v>
      </c>
      <c r="D26" s="58">
        <f t="shared" si="1"/>
        <v>46159</v>
      </c>
      <c r="E26" s="92">
        <f t="shared" si="2"/>
        <v>46160</v>
      </c>
      <c r="F26" s="92"/>
      <c r="G26" s="91">
        <f t="shared" si="3"/>
        <v>46161</v>
      </c>
      <c r="H26" s="92"/>
      <c r="I26" s="91">
        <f t="shared" si="8"/>
        <v>46162</v>
      </c>
      <c r="J26" s="92"/>
      <c r="K26" s="91">
        <f t="shared" si="9"/>
        <v>46163</v>
      </c>
      <c r="L26" s="92"/>
      <c r="M26" s="91">
        <f t="shared" si="6"/>
        <v>46164</v>
      </c>
      <c r="N26" s="55" t="s">
        <v>0</v>
      </c>
      <c r="O26" s="21">
        <f t="shared" si="10"/>
        <v>46165</v>
      </c>
      <c r="R26" s="20">
        <f>+D23</f>
        <v>46138</v>
      </c>
      <c r="S26" s="20">
        <f>+O26</f>
        <v>46165</v>
      </c>
      <c r="U26" s="2">
        <f>+S26-R26+1</f>
        <v>28</v>
      </c>
    </row>
    <row r="27" spans="2:21" s="3" customFormat="1" x14ac:dyDescent="0.25">
      <c r="B27" s="137" t="s">
        <v>7</v>
      </c>
      <c r="C27" s="54">
        <f t="shared" si="0"/>
        <v>22</v>
      </c>
      <c r="D27" s="53">
        <f t="shared" si="1"/>
        <v>46166</v>
      </c>
      <c r="E27" s="89">
        <f t="shared" si="2"/>
        <v>46167</v>
      </c>
      <c r="F27" s="102"/>
      <c r="G27" s="44">
        <f t="shared" si="3"/>
        <v>46168</v>
      </c>
      <c r="H27" s="38"/>
      <c r="I27" s="83">
        <f t="shared" si="8"/>
        <v>46169</v>
      </c>
      <c r="J27" s="38"/>
      <c r="K27" s="44">
        <f t="shared" si="9"/>
        <v>46170</v>
      </c>
      <c r="L27" s="38"/>
      <c r="M27" s="82">
        <f t="shared" si="6"/>
        <v>46171</v>
      </c>
      <c r="N27" s="80"/>
      <c r="O27" s="81">
        <f t="shared" si="10"/>
        <v>46172</v>
      </c>
      <c r="U27" s="2"/>
    </row>
    <row r="28" spans="2:21" s="3" customFormat="1" x14ac:dyDescent="0.25">
      <c r="B28" s="138"/>
      <c r="C28" s="35">
        <f t="shared" si="0"/>
        <v>23</v>
      </c>
      <c r="D28" s="34">
        <f t="shared" si="1"/>
        <v>46173</v>
      </c>
      <c r="E28" s="37">
        <f t="shared" si="2"/>
        <v>46174</v>
      </c>
      <c r="F28" s="40"/>
      <c r="G28" s="37">
        <f t="shared" si="3"/>
        <v>46175</v>
      </c>
      <c r="H28" s="40"/>
      <c r="I28" s="37">
        <f t="shared" si="8"/>
        <v>46176</v>
      </c>
      <c r="J28" s="40"/>
      <c r="K28" s="37">
        <f t="shared" si="9"/>
        <v>46177</v>
      </c>
      <c r="L28" s="40"/>
      <c r="M28" s="68">
        <f t="shared" si="6"/>
        <v>46178</v>
      </c>
      <c r="N28" s="80" t="s">
        <v>0</v>
      </c>
      <c r="O28" s="77">
        <f t="shared" si="10"/>
        <v>46179</v>
      </c>
      <c r="U28" s="2"/>
    </row>
    <row r="29" spans="2:21" s="3" customFormat="1" x14ac:dyDescent="0.25">
      <c r="B29" s="138"/>
      <c r="C29" s="35">
        <f t="shared" si="0"/>
        <v>24</v>
      </c>
      <c r="D29" s="34">
        <f t="shared" si="1"/>
        <v>46180</v>
      </c>
      <c r="E29" s="39">
        <f t="shared" si="2"/>
        <v>46181</v>
      </c>
      <c r="F29" s="32"/>
      <c r="G29" s="30">
        <f t="shared" si="3"/>
        <v>46182</v>
      </c>
      <c r="H29" s="31"/>
      <c r="I29" s="39">
        <f t="shared" si="8"/>
        <v>46183</v>
      </c>
      <c r="J29" s="40"/>
      <c r="K29" s="30">
        <f t="shared" si="9"/>
        <v>46184</v>
      </c>
      <c r="L29" s="31"/>
      <c r="M29" s="62">
        <f t="shared" si="6"/>
        <v>46185</v>
      </c>
      <c r="N29" s="80"/>
      <c r="O29" s="77">
        <f t="shared" si="10"/>
        <v>46186</v>
      </c>
      <c r="U29" s="2"/>
    </row>
    <row r="30" spans="2:21" s="3" customFormat="1" x14ac:dyDescent="0.25">
      <c r="B30" s="138"/>
      <c r="C30" s="35">
        <f t="shared" si="0"/>
        <v>25</v>
      </c>
      <c r="D30" s="34">
        <f t="shared" si="1"/>
        <v>46187</v>
      </c>
      <c r="E30" s="32">
        <f t="shared" si="2"/>
        <v>46188</v>
      </c>
      <c r="F30" s="40"/>
      <c r="G30" s="37">
        <f t="shared" si="3"/>
        <v>46189</v>
      </c>
      <c r="H30" s="40"/>
      <c r="I30" s="30">
        <f t="shared" si="8"/>
        <v>46190</v>
      </c>
      <c r="J30" s="31"/>
      <c r="K30" s="44">
        <f t="shared" si="9"/>
        <v>46191</v>
      </c>
      <c r="L30" s="38"/>
      <c r="M30" s="101">
        <f t="shared" si="6"/>
        <v>46192</v>
      </c>
      <c r="N30" s="78" t="s">
        <v>0</v>
      </c>
      <c r="O30" s="77">
        <f t="shared" si="10"/>
        <v>46193</v>
      </c>
      <c r="P30" s="10"/>
      <c r="U30" s="2"/>
    </row>
    <row r="31" spans="2:21" s="3" customFormat="1" ht="15.75" thickBot="1" x14ac:dyDescent="0.3">
      <c r="B31" s="139"/>
      <c r="C31" s="100">
        <f t="shared" si="0"/>
        <v>26</v>
      </c>
      <c r="D31" s="99">
        <f t="shared" si="1"/>
        <v>46194</v>
      </c>
      <c r="E31" s="97">
        <f t="shared" si="2"/>
        <v>46195</v>
      </c>
      <c r="F31" s="98"/>
      <c r="G31" s="97">
        <f t="shared" si="3"/>
        <v>46196</v>
      </c>
      <c r="H31" s="98"/>
      <c r="I31" s="97">
        <f t="shared" si="8"/>
        <v>46197</v>
      </c>
      <c r="J31" s="98"/>
      <c r="K31" s="97">
        <f t="shared" si="9"/>
        <v>46198</v>
      </c>
      <c r="L31" s="98"/>
      <c r="M31" s="97">
        <f t="shared" si="6"/>
        <v>46199</v>
      </c>
      <c r="N31" s="96"/>
      <c r="O31" s="21">
        <f t="shared" si="10"/>
        <v>46200</v>
      </c>
      <c r="R31" s="20">
        <f>+D27</f>
        <v>46166</v>
      </c>
      <c r="S31" s="20">
        <f>+O31</f>
        <v>46200</v>
      </c>
      <c r="U31" s="2">
        <f>+S31-R31+1</f>
        <v>35</v>
      </c>
    </row>
    <row r="32" spans="2:21" s="3" customFormat="1" x14ac:dyDescent="0.25">
      <c r="B32" s="130" t="s">
        <v>6</v>
      </c>
      <c r="C32" s="75">
        <f t="shared" si="0"/>
        <v>27</v>
      </c>
      <c r="D32" s="74">
        <f t="shared" si="1"/>
        <v>46201</v>
      </c>
      <c r="E32" s="70">
        <f t="shared" si="2"/>
        <v>46202</v>
      </c>
      <c r="F32" s="90"/>
      <c r="G32" s="70">
        <f t="shared" si="3"/>
        <v>46203</v>
      </c>
      <c r="H32" s="70"/>
      <c r="I32" s="95">
        <f t="shared" si="8"/>
        <v>46204</v>
      </c>
      <c r="J32" s="70"/>
      <c r="K32" s="70">
        <f t="shared" si="9"/>
        <v>46205</v>
      </c>
      <c r="L32" s="70"/>
      <c r="M32" s="70">
        <f t="shared" si="6"/>
        <v>46206</v>
      </c>
      <c r="N32" s="70" t="s">
        <v>0</v>
      </c>
      <c r="O32" s="47">
        <f t="shared" si="10"/>
        <v>46207</v>
      </c>
      <c r="U32" s="2"/>
    </row>
    <row r="33" spans="2:21" s="3" customFormat="1" ht="14.45" customHeight="1" x14ac:dyDescent="0.25">
      <c r="B33" s="131"/>
      <c r="C33" s="67">
        <f t="shared" si="0"/>
        <v>28</v>
      </c>
      <c r="D33" s="66">
        <f t="shared" si="1"/>
        <v>46208</v>
      </c>
      <c r="E33" s="64">
        <f t="shared" si="2"/>
        <v>46209</v>
      </c>
      <c r="F33" s="61"/>
      <c r="G33" s="64">
        <f t="shared" si="3"/>
        <v>46210</v>
      </c>
      <c r="H33" s="61"/>
      <c r="I33" s="69">
        <f t="shared" si="8"/>
        <v>46211</v>
      </c>
      <c r="J33" s="63"/>
      <c r="K33" s="69">
        <f t="shared" si="9"/>
        <v>46212</v>
      </c>
      <c r="L33" s="61"/>
      <c r="M33" s="68">
        <f t="shared" si="6"/>
        <v>46213</v>
      </c>
      <c r="N33" s="61"/>
      <c r="O33" s="60">
        <f t="shared" si="10"/>
        <v>46214</v>
      </c>
      <c r="U33" s="2"/>
    </row>
    <row r="34" spans="2:21" s="3" customFormat="1" x14ac:dyDescent="0.25">
      <c r="B34" s="131"/>
      <c r="C34" s="67">
        <f t="shared" si="0"/>
        <v>29</v>
      </c>
      <c r="D34" s="66">
        <f t="shared" si="1"/>
        <v>46215</v>
      </c>
      <c r="E34" s="64">
        <f t="shared" si="2"/>
        <v>46216</v>
      </c>
      <c r="F34" s="65"/>
      <c r="G34" s="64">
        <f t="shared" si="3"/>
        <v>46217</v>
      </c>
      <c r="H34" s="61"/>
      <c r="I34" s="39">
        <f t="shared" si="8"/>
        <v>46218</v>
      </c>
      <c r="J34" s="63"/>
      <c r="K34" s="64">
        <f t="shared" si="9"/>
        <v>46219</v>
      </c>
      <c r="L34" s="61"/>
      <c r="M34" s="39">
        <f t="shared" si="6"/>
        <v>46220</v>
      </c>
      <c r="N34" s="94" t="s">
        <v>0</v>
      </c>
      <c r="O34" s="60">
        <f t="shared" si="10"/>
        <v>46221</v>
      </c>
      <c r="U34" s="2"/>
    </row>
    <row r="35" spans="2:21" s="3" customFormat="1" ht="15.75" thickBot="1" x14ac:dyDescent="0.3">
      <c r="B35" s="132"/>
      <c r="C35" s="93">
        <f t="shared" si="0"/>
        <v>30</v>
      </c>
      <c r="D35" s="58">
        <f t="shared" si="1"/>
        <v>46222</v>
      </c>
      <c r="E35" s="92">
        <f t="shared" si="2"/>
        <v>46223</v>
      </c>
      <c r="F35" s="92"/>
      <c r="G35" s="91">
        <f t="shared" si="3"/>
        <v>46224</v>
      </c>
      <c r="H35" s="92"/>
      <c r="I35" s="91">
        <f t="shared" si="8"/>
        <v>46225</v>
      </c>
      <c r="J35" s="92"/>
      <c r="K35" s="91">
        <f t="shared" si="9"/>
        <v>46226</v>
      </c>
      <c r="L35" s="92"/>
      <c r="M35" s="91">
        <f t="shared" si="6"/>
        <v>46227</v>
      </c>
      <c r="N35" s="55"/>
      <c r="O35" s="21">
        <f t="shared" si="10"/>
        <v>46228</v>
      </c>
      <c r="R35" s="20">
        <f>+D32</f>
        <v>46201</v>
      </c>
      <c r="S35" s="20">
        <f>+O35</f>
        <v>46228</v>
      </c>
      <c r="U35" s="2">
        <f>+S35-R35+1</f>
        <v>28</v>
      </c>
    </row>
    <row r="36" spans="2:21" s="3" customFormat="1" x14ac:dyDescent="0.25">
      <c r="B36" s="137" t="s">
        <v>5</v>
      </c>
      <c r="C36" s="54">
        <f t="shared" si="0"/>
        <v>31</v>
      </c>
      <c r="D36" s="53">
        <f t="shared" si="1"/>
        <v>46229</v>
      </c>
      <c r="E36" s="38">
        <f t="shared" si="2"/>
        <v>46230</v>
      </c>
      <c r="F36" s="38"/>
      <c r="G36" s="44">
        <f t="shared" si="3"/>
        <v>46231</v>
      </c>
      <c r="H36" s="38"/>
      <c r="I36" s="83">
        <f t="shared" si="8"/>
        <v>46232</v>
      </c>
      <c r="J36" s="38"/>
      <c r="K36" s="44">
        <f t="shared" si="9"/>
        <v>46233</v>
      </c>
      <c r="L36" s="38"/>
      <c r="M36" s="82">
        <f t="shared" si="6"/>
        <v>46234</v>
      </c>
      <c r="N36" s="80" t="s">
        <v>0</v>
      </c>
      <c r="O36" s="81">
        <f t="shared" si="10"/>
        <v>46235</v>
      </c>
      <c r="U36" s="2"/>
    </row>
    <row r="37" spans="2:21" s="3" customFormat="1" x14ac:dyDescent="0.25">
      <c r="B37" s="138"/>
      <c r="C37" s="35">
        <f t="shared" si="0"/>
        <v>32</v>
      </c>
      <c r="D37" s="34">
        <f t="shared" si="1"/>
        <v>46236</v>
      </c>
      <c r="E37" s="32">
        <f t="shared" si="2"/>
        <v>46237</v>
      </c>
      <c r="F37" s="40"/>
      <c r="G37" s="37">
        <f t="shared" si="3"/>
        <v>46238</v>
      </c>
      <c r="H37" s="40"/>
      <c r="I37" s="37">
        <f t="shared" si="8"/>
        <v>46239</v>
      </c>
      <c r="J37" s="40"/>
      <c r="K37" s="37">
        <f t="shared" si="9"/>
        <v>46240</v>
      </c>
      <c r="L37" s="31"/>
      <c r="M37" s="68">
        <f t="shared" si="6"/>
        <v>46241</v>
      </c>
      <c r="N37" s="80"/>
      <c r="O37" s="77">
        <f t="shared" si="10"/>
        <v>46242</v>
      </c>
      <c r="U37" s="2"/>
    </row>
    <row r="38" spans="2:21" s="3" customFormat="1" x14ac:dyDescent="0.25">
      <c r="B38" s="138"/>
      <c r="C38" s="35">
        <f t="shared" si="0"/>
        <v>33</v>
      </c>
      <c r="D38" s="34">
        <f t="shared" si="1"/>
        <v>46243</v>
      </c>
      <c r="E38" s="39">
        <f t="shared" si="2"/>
        <v>46244</v>
      </c>
      <c r="F38" s="32"/>
      <c r="G38" s="30">
        <f t="shared" si="3"/>
        <v>46245</v>
      </c>
      <c r="H38" s="31"/>
      <c r="I38" s="39">
        <f t="shared" si="8"/>
        <v>46246</v>
      </c>
      <c r="J38" s="40"/>
      <c r="K38" s="30">
        <f t="shared" si="9"/>
        <v>46247</v>
      </c>
      <c r="L38" s="31"/>
      <c r="M38" s="62">
        <f t="shared" si="6"/>
        <v>46248</v>
      </c>
      <c r="N38" s="80" t="s">
        <v>0</v>
      </c>
      <c r="O38" s="77">
        <f t="shared" si="10"/>
        <v>46249</v>
      </c>
      <c r="U38" s="2"/>
    </row>
    <row r="39" spans="2:21" s="3" customFormat="1" ht="15.75" thickBot="1" x14ac:dyDescent="0.3">
      <c r="B39" s="139"/>
      <c r="C39" s="27">
        <f t="shared" ref="C39:C57" si="11">C38+1</f>
        <v>34</v>
      </c>
      <c r="D39" s="26">
        <f t="shared" ref="D39:D57" si="12">D38+7</f>
        <v>46250</v>
      </c>
      <c r="E39" s="24">
        <f t="shared" ref="E39:E57" si="13">E38+7</f>
        <v>46251</v>
      </c>
      <c r="F39" s="24"/>
      <c r="G39" s="23">
        <f t="shared" ref="G39:G57" si="14">G38+7</f>
        <v>46252</v>
      </c>
      <c r="H39" s="24"/>
      <c r="I39" s="23">
        <f t="shared" si="8"/>
        <v>46253</v>
      </c>
      <c r="J39" s="24"/>
      <c r="K39" s="23">
        <f t="shared" si="9"/>
        <v>46254</v>
      </c>
      <c r="L39" s="24"/>
      <c r="M39" s="23">
        <f t="shared" ref="M39:M57" si="15">M38+7</f>
        <v>46255</v>
      </c>
      <c r="N39" s="76"/>
      <c r="O39" s="21">
        <f t="shared" si="10"/>
        <v>46256</v>
      </c>
      <c r="R39" s="20">
        <f>+D36</f>
        <v>46229</v>
      </c>
      <c r="S39" s="20">
        <f>+O39</f>
        <v>46256</v>
      </c>
      <c r="U39" s="2">
        <f>+S39-R39+1</f>
        <v>28</v>
      </c>
    </row>
    <row r="40" spans="2:21" s="3" customFormat="1" x14ac:dyDescent="0.25">
      <c r="B40" s="130" t="s">
        <v>4</v>
      </c>
      <c r="C40" s="75">
        <f t="shared" si="11"/>
        <v>35</v>
      </c>
      <c r="D40" s="74">
        <f t="shared" si="12"/>
        <v>46257</v>
      </c>
      <c r="E40" s="70">
        <f t="shared" si="13"/>
        <v>46258</v>
      </c>
      <c r="F40" s="90"/>
      <c r="G40" s="88">
        <f t="shared" si="14"/>
        <v>46259</v>
      </c>
      <c r="H40" s="70"/>
      <c r="I40" s="83">
        <f t="shared" si="8"/>
        <v>46260</v>
      </c>
      <c r="J40" s="70"/>
      <c r="K40" s="88">
        <f t="shared" si="9"/>
        <v>46261</v>
      </c>
      <c r="L40" s="70"/>
      <c r="M40" s="82">
        <f t="shared" si="15"/>
        <v>46262</v>
      </c>
      <c r="N40" s="70" t="s">
        <v>0</v>
      </c>
      <c r="O40" s="47">
        <f t="shared" si="10"/>
        <v>46263</v>
      </c>
      <c r="U40" s="2"/>
    </row>
    <row r="41" spans="2:21" s="3" customFormat="1" x14ac:dyDescent="0.25">
      <c r="B41" s="131"/>
      <c r="C41" s="67">
        <f t="shared" si="11"/>
        <v>36</v>
      </c>
      <c r="D41" s="66">
        <f t="shared" si="12"/>
        <v>46264</v>
      </c>
      <c r="E41" s="89">
        <f t="shared" si="13"/>
        <v>46265</v>
      </c>
      <c r="F41" s="61"/>
      <c r="G41" s="69">
        <f t="shared" si="14"/>
        <v>46266</v>
      </c>
      <c r="H41" s="63"/>
      <c r="I41" s="69">
        <f t="shared" si="8"/>
        <v>46267</v>
      </c>
      <c r="J41" s="63"/>
      <c r="K41" s="69">
        <f t="shared" si="9"/>
        <v>46268</v>
      </c>
      <c r="L41" s="63"/>
      <c r="M41" s="68">
        <f t="shared" si="15"/>
        <v>46269</v>
      </c>
      <c r="N41" s="70"/>
      <c r="O41" s="60">
        <f t="shared" si="10"/>
        <v>46270</v>
      </c>
      <c r="U41" s="2"/>
    </row>
    <row r="42" spans="2:21" s="3" customFormat="1" x14ac:dyDescent="0.25">
      <c r="B42" s="131"/>
      <c r="C42" s="67">
        <f t="shared" si="11"/>
        <v>37</v>
      </c>
      <c r="D42" s="66">
        <f t="shared" si="12"/>
        <v>46271</v>
      </c>
      <c r="E42" s="39">
        <f t="shared" si="13"/>
        <v>46272</v>
      </c>
      <c r="F42" s="65"/>
      <c r="G42" s="64">
        <f t="shared" si="14"/>
        <v>46273</v>
      </c>
      <c r="H42" s="61"/>
      <c r="I42" s="39">
        <f t="shared" si="8"/>
        <v>46274</v>
      </c>
      <c r="J42" s="63"/>
      <c r="K42" s="64">
        <f t="shared" si="9"/>
        <v>46275</v>
      </c>
      <c r="L42" s="61"/>
      <c r="M42" s="62">
        <f t="shared" si="15"/>
        <v>46276</v>
      </c>
      <c r="N42" s="70" t="s">
        <v>0</v>
      </c>
      <c r="O42" s="60">
        <f t="shared" si="10"/>
        <v>46277</v>
      </c>
      <c r="U42" s="2"/>
    </row>
    <row r="43" spans="2:21" s="3" customFormat="1" x14ac:dyDescent="0.25">
      <c r="B43" s="131"/>
      <c r="C43" s="67">
        <f t="shared" si="11"/>
        <v>38</v>
      </c>
      <c r="D43" s="66">
        <f t="shared" si="12"/>
        <v>46278</v>
      </c>
      <c r="E43" s="65">
        <f t="shared" si="13"/>
        <v>46279</v>
      </c>
      <c r="F43" s="63"/>
      <c r="G43" s="69">
        <f t="shared" si="14"/>
        <v>46280</v>
      </c>
      <c r="H43" s="63"/>
      <c r="I43" s="64">
        <f t="shared" si="8"/>
        <v>46281</v>
      </c>
      <c r="J43" s="61"/>
      <c r="K43" s="88">
        <f t="shared" si="9"/>
        <v>46282</v>
      </c>
      <c r="L43" s="61"/>
      <c r="M43" s="87">
        <f t="shared" si="15"/>
        <v>46283</v>
      </c>
      <c r="N43" s="86"/>
      <c r="O43" s="60">
        <f t="shared" si="10"/>
        <v>46284</v>
      </c>
      <c r="U43" s="2"/>
    </row>
    <row r="44" spans="2:21" s="3" customFormat="1" ht="15.75" thickBot="1" x14ac:dyDescent="0.3">
      <c r="B44" s="132"/>
      <c r="C44" s="59">
        <f t="shared" si="11"/>
        <v>39</v>
      </c>
      <c r="D44" s="85">
        <f t="shared" si="12"/>
        <v>46285</v>
      </c>
      <c r="E44" s="56">
        <f t="shared" si="13"/>
        <v>46286</v>
      </c>
      <c r="F44" s="57"/>
      <c r="G44" s="56">
        <f t="shared" si="14"/>
        <v>46287</v>
      </c>
      <c r="H44" s="57"/>
      <c r="I44" s="56">
        <f t="shared" si="8"/>
        <v>46288</v>
      </c>
      <c r="J44" s="57"/>
      <c r="K44" s="56">
        <f t="shared" si="9"/>
        <v>46289</v>
      </c>
      <c r="L44" s="57"/>
      <c r="M44" s="56">
        <f t="shared" si="15"/>
        <v>46290</v>
      </c>
      <c r="N44" s="84" t="s">
        <v>0</v>
      </c>
      <c r="O44" s="21">
        <f t="shared" si="10"/>
        <v>46291</v>
      </c>
      <c r="R44" s="20">
        <f>+D40</f>
        <v>46257</v>
      </c>
      <c r="S44" s="20">
        <f>+O44</f>
        <v>46291</v>
      </c>
      <c r="U44" s="2">
        <f>+S44-R44+1</f>
        <v>35</v>
      </c>
    </row>
    <row r="45" spans="2:21" s="3" customFormat="1" x14ac:dyDescent="0.25">
      <c r="B45" s="137" t="s">
        <v>3</v>
      </c>
      <c r="C45" s="54">
        <f t="shared" si="11"/>
        <v>40</v>
      </c>
      <c r="D45" s="53">
        <f t="shared" si="12"/>
        <v>46292</v>
      </c>
      <c r="E45" s="38">
        <f t="shared" si="13"/>
        <v>46293</v>
      </c>
      <c r="F45" s="49"/>
      <c r="G45" s="44">
        <f t="shared" si="14"/>
        <v>46294</v>
      </c>
      <c r="H45" s="38"/>
      <c r="I45" s="83">
        <f t="shared" si="8"/>
        <v>46295</v>
      </c>
      <c r="J45" s="38"/>
      <c r="K45" s="44">
        <f t="shared" si="9"/>
        <v>46296</v>
      </c>
      <c r="L45" s="38"/>
      <c r="M45" s="82">
        <f t="shared" si="15"/>
        <v>46297</v>
      </c>
      <c r="N45" s="80"/>
      <c r="O45" s="81">
        <f t="shared" si="10"/>
        <v>46298</v>
      </c>
      <c r="U45" s="2"/>
    </row>
    <row r="46" spans="2:21" s="3" customFormat="1" x14ac:dyDescent="0.25">
      <c r="B46" s="138"/>
      <c r="C46" s="35">
        <f t="shared" si="11"/>
        <v>41</v>
      </c>
      <c r="D46" s="34">
        <f t="shared" si="12"/>
        <v>46299</v>
      </c>
      <c r="E46" s="32">
        <f t="shared" si="13"/>
        <v>46300</v>
      </c>
      <c r="F46" s="40"/>
      <c r="G46" s="37">
        <f t="shared" si="14"/>
        <v>46301</v>
      </c>
      <c r="H46" s="40"/>
      <c r="I46" s="37">
        <f t="shared" si="8"/>
        <v>46302</v>
      </c>
      <c r="J46" s="40"/>
      <c r="K46" s="37">
        <f t="shared" si="9"/>
        <v>46303</v>
      </c>
      <c r="L46" s="40"/>
      <c r="M46" s="68">
        <f t="shared" si="15"/>
        <v>46304</v>
      </c>
      <c r="N46" s="80" t="s">
        <v>0</v>
      </c>
      <c r="O46" s="77">
        <f t="shared" si="10"/>
        <v>46305</v>
      </c>
      <c r="U46" s="2"/>
    </row>
    <row r="47" spans="2:21" s="3" customFormat="1" ht="15" customHeight="1" x14ac:dyDescent="0.25">
      <c r="B47" s="138"/>
      <c r="C47" s="35">
        <f t="shared" si="11"/>
        <v>42</v>
      </c>
      <c r="D47" s="34">
        <f t="shared" si="12"/>
        <v>46306</v>
      </c>
      <c r="E47" s="39">
        <f t="shared" si="13"/>
        <v>46307</v>
      </c>
      <c r="F47" s="32"/>
      <c r="G47" s="30">
        <f t="shared" si="14"/>
        <v>46308</v>
      </c>
      <c r="H47" s="31"/>
      <c r="I47" s="39">
        <f t="shared" si="8"/>
        <v>46309</v>
      </c>
      <c r="J47" s="40"/>
      <c r="K47" s="37">
        <f t="shared" si="9"/>
        <v>46310</v>
      </c>
      <c r="L47" s="40"/>
      <c r="M47" s="79">
        <f t="shared" si="15"/>
        <v>46311</v>
      </c>
      <c r="N47" s="78"/>
      <c r="O47" s="77">
        <f t="shared" si="10"/>
        <v>46312</v>
      </c>
      <c r="U47" s="2"/>
    </row>
    <row r="48" spans="2:21" s="3" customFormat="1" ht="15" customHeight="1" thickBot="1" x14ac:dyDescent="0.3">
      <c r="B48" s="139"/>
      <c r="C48" s="27">
        <f t="shared" si="11"/>
        <v>43</v>
      </c>
      <c r="D48" s="26">
        <f t="shared" si="12"/>
        <v>46313</v>
      </c>
      <c r="E48" s="24">
        <f t="shared" si="13"/>
        <v>46314</v>
      </c>
      <c r="F48" s="24"/>
      <c r="G48" s="23">
        <f t="shared" si="14"/>
        <v>46315</v>
      </c>
      <c r="H48" s="24"/>
      <c r="I48" s="23">
        <f t="shared" si="8"/>
        <v>46316</v>
      </c>
      <c r="J48" s="24"/>
      <c r="K48" s="23">
        <f t="shared" si="9"/>
        <v>46317</v>
      </c>
      <c r="L48" s="24"/>
      <c r="M48" s="23">
        <f t="shared" si="15"/>
        <v>46318</v>
      </c>
      <c r="N48" s="76" t="s">
        <v>0</v>
      </c>
      <c r="O48" s="21">
        <f t="shared" si="10"/>
        <v>46319</v>
      </c>
      <c r="R48" s="20">
        <f>+D45</f>
        <v>46292</v>
      </c>
      <c r="S48" s="20">
        <f>+O48</f>
        <v>46319</v>
      </c>
      <c r="U48" s="2">
        <f>+S48-R48+1</f>
        <v>28</v>
      </c>
    </row>
    <row r="49" spans="2:21" ht="15" customHeight="1" x14ac:dyDescent="0.25">
      <c r="B49" s="130" t="s">
        <v>2</v>
      </c>
      <c r="C49" s="75">
        <f t="shared" si="11"/>
        <v>44</v>
      </c>
      <c r="D49" s="74">
        <f t="shared" si="12"/>
        <v>46320</v>
      </c>
      <c r="E49" s="72">
        <f t="shared" si="13"/>
        <v>46321</v>
      </c>
      <c r="F49" s="72"/>
      <c r="G49" s="73">
        <f t="shared" si="14"/>
        <v>46322</v>
      </c>
      <c r="H49" s="72"/>
      <c r="I49" s="50">
        <f t="shared" si="8"/>
        <v>46323</v>
      </c>
      <c r="J49" s="70"/>
      <c r="K49" s="73">
        <f t="shared" si="9"/>
        <v>46324</v>
      </c>
      <c r="L49" s="72"/>
      <c r="M49" s="71">
        <f t="shared" si="15"/>
        <v>46325</v>
      </c>
      <c r="N49" s="70"/>
      <c r="O49" s="47">
        <f t="shared" si="10"/>
        <v>46326</v>
      </c>
    </row>
    <row r="50" spans="2:21" ht="15" customHeight="1" x14ac:dyDescent="0.25">
      <c r="B50" s="131"/>
      <c r="C50" s="67">
        <f t="shared" si="11"/>
        <v>45</v>
      </c>
      <c r="D50" s="66">
        <f t="shared" si="12"/>
        <v>46327</v>
      </c>
      <c r="E50" s="65">
        <f t="shared" si="13"/>
        <v>46328</v>
      </c>
      <c r="F50" s="63"/>
      <c r="G50" s="69">
        <f t="shared" si="14"/>
        <v>46329</v>
      </c>
      <c r="H50" s="63"/>
      <c r="I50" s="69">
        <f t="shared" si="8"/>
        <v>46330</v>
      </c>
      <c r="J50" s="63"/>
      <c r="K50" s="69">
        <f t="shared" si="9"/>
        <v>46331</v>
      </c>
      <c r="L50" s="63"/>
      <c r="M50" s="68">
        <f t="shared" si="15"/>
        <v>46332</v>
      </c>
      <c r="N50" s="61" t="s">
        <v>0</v>
      </c>
      <c r="O50" s="60">
        <f t="shared" si="10"/>
        <v>46333</v>
      </c>
    </row>
    <row r="51" spans="2:21" ht="15" customHeight="1" x14ac:dyDescent="0.25">
      <c r="B51" s="131"/>
      <c r="C51" s="67">
        <f t="shared" si="11"/>
        <v>46</v>
      </c>
      <c r="D51" s="66">
        <f t="shared" si="12"/>
        <v>46334</v>
      </c>
      <c r="E51" s="39">
        <f t="shared" si="13"/>
        <v>46335</v>
      </c>
      <c r="F51" s="65"/>
      <c r="G51" s="64">
        <f t="shared" si="14"/>
        <v>46336</v>
      </c>
      <c r="H51" s="61"/>
      <c r="I51" s="39">
        <f t="shared" si="8"/>
        <v>46337</v>
      </c>
      <c r="J51" s="63"/>
      <c r="K51" s="64">
        <f t="shared" si="9"/>
        <v>46338</v>
      </c>
      <c r="L51" s="63"/>
      <c r="M51" s="62">
        <f t="shared" si="15"/>
        <v>46339</v>
      </c>
      <c r="N51" s="61"/>
      <c r="O51" s="60">
        <f t="shared" si="10"/>
        <v>46340</v>
      </c>
    </row>
    <row r="52" spans="2:21" ht="15" customHeight="1" thickBot="1" x14ac:dyDescent="0.3">
      <c r="B52" s="132"/>
      <c r="C52" s="59">
        <f t="shared" si="11"/>
        <v>47</v>
      </c>
      <c r="D52" s="58">
        <f t="shared" si="12"/>
        <v>46341</v>
      </c>
      <c r="E52" s="56">
        <f t="shared" si="13"/>
        <v>46342</v>
      </c>
      <c r="F52" s="57"/>
      <c r="G52" s="56">
        <f t="shared" si="14"/>
        <v>46343</v>
      </c>
      <c r="H52" s="57"/>
      <c r="I52" s="56">
        <f t="shared" si="8"/>
        <v>46344</v>
      </c>
      <c r="J52" s="57"/>
      <c r="K52" s="56">
        <f t="shared" si="9"/>
        <v>46345</v>
      </c>
      <c r="L52" s="57"/>
      <c r="M52" s="56">
        <f t="shared" si="15"/>
        <v>46346</v>
      </c>
      <c r="N52" s="55" t="s">
        <v>0</v>
      </c>
      <c r="O52" s="21">
        <f t="shared" si="10"/>
        <v>46347</v>
      </c>
      <c r="R52" s="20">
        <f>+D49</f>
        <v>46320</v>
      </c>
      <c r="S52" s="20">
        <f>+O52</f>
        <v>46347</v>
      </c>
      <c r="U52" s="2">
        <f>+S52-R52+1</f>
        <v>28</v>
      </c>
    </row>
    <row r="53" spans="2:21" ht="15" customHeight="1" thickBot="1" x14ac:dyDescent="0.3">
      <c r="B53" s="137" t="s">
        <v>1</v>
      </c>
      <c r="C53" s="54">
        <f t="shared" si="11"/>
        <v>48</v>
      </c>
      <c r="D53" s="53">
        <f t="shared" si="12"/>
        <v>46348</v>
      </c>
      <c r="E53" s="52">
        <f t="shared" si="13"/>
        <v>46349</v>
      </c>
      <c r="F53" s="49"/>
      <c r="G53" s="51">
        <f t="shared" si="14"/>
        <v>46350</v>
      </c>
      <c r="H53" s="49"/>
      <c r="I53" s="50">
        <f t="shared" si="8"/>
        <v>46351</v>
      </c>
      <c r="J53" s="49"/>
      <c r="K53" s="25">
        <f t="shared" si="9"/>
        <v>46352</v>
      </c>
      <c r="L53" s="38"/>
      <c r="M53" s="25">
        <f t="shared" si="15"/>
        <v>46353</v>
      </c>
      <c r="N53" s="48"/>
      <c r="O53" s="47">
        <f t="shared" si="10"/>
        <v>46354</v>
      </c>
    </row>
    <row r="54" spans="2:21" ht="15" customHeight="1" x14ac:dyDescent="0.25">
      <c r="B54" s="138"/>
      <c r="C54" s="46">
        <f t="shared" si="11"/>
        <v>49</v>
      </c>
      <c r="D54" s="34">
        <f t="shared" si="12"/>
        <v>46355</v>
      </c>
      <c r="E54" s="45">
        <f t="shared" si="13"/>
        <v>46356</v>
      </c>
      <c r="F54" s="40"/>
      <c r="G54" s="44">
        <f t="shared" si="14"/>
        <v>46357</v>
      </c>
      <c r="H54" s="38"/>
      <c r="I54" s="44">
        <f t="shared" si="8"/>
        <v>46358</v>
      </c>
      <c r="J54" s="38"/>
      <c r="K54" s="44">
        <f t="shared" si="9"/>
        <v>46359</v>
      </c>
      <c r="L54" s="38"/>
      <c r="M54" s="43">
        <f t="shared" si="15"/>
        <v>46360</v>
      </c>
      <c r="N54" s="42" t="s">
        <v>0</v>
      </c>
      <c r="O54" s="41">
        <f t="shared" si="10"/>
        <v>46361</v>
      </c>
    </row>
    <row r="55" spans="2:21" ht="15" customHeight="1" x14ac:dyDescent="0.25">
      <c r="B55" s="138"/>
      <c r="C55" s="35">
        <f t="shared" si="11"/>
        <v>50</v>
      </c>
      <c r="D55" s="34">
        <f t="shared" si="12"/>
        <v>46362</v>
      </c>
      <c r="E55" s="39">
        <f t="shared" si="13"/>
        <v>46363</v>
      </c>
      <c r="F55" s="40"/>
      <c r="G55" s="37">
        <f t="shared" si="14"/>
        <v>46364</v>
      </c>
      <c r="H55" s="40"/>
      <c r="I55" s="39">
        <f t="shared" si="8"/>
        <v>46365</v>
      </c>
      <c r="J55" s="38"/>
      <c r="K55" s="37">
        <f t="shared" si="9"/>
        <v>46366</v>
      </c>
      <c r="L55" s="31"/>
      <c r="M55" s="36">
        <f t="shared" si="15"/>
        <v>46367</v>
      </c>
      <c r="N55" s="29"/>
      <c r="O55" s="28">
        <f t="shared" si="10"/>
        <v>46368</v>
      </c>
    </row>
    <row r="56" spans="2:21" ht="15" customHeight="1" x14ac:dyDescent="0.25">
      <c r="B56" s="138"/>
      <c r="C56" s="35">
        <f t="shared" si="11"/>
        <v>51</v>
      </c>
      <c r="D56" s="34">
        <f t="shared" si="12"/>
        <v>46369</v>
      </c>
      <c r="E56" s="33">
        <f t="shared" si="13"/>
        <v>46370</v>
      </c>
      <c r="F56" s="32"/>
      <c r="G56" s="30">
        <f t="shared" si="14"/>
        <v>46371</v>
      </c>
      <c r="H56" s="31"/>
      <c r="I56" s="30">
        <f t="shared" si="8"/>
        <v>46372</v>
      </c>
      <c r="J56" s="31"/>
      <c r="K56" s="30">
        <f t="shared" si="9"/>
        <v>46373</v>
      </c>
      <c r="L56" s="31"/>
      <c r="M56" s="30">
        <f t="shared" si="15"/>
        <v>46374</v>
      </c>
      <c r="N56" s="29" t="s">
        <v>0</v>
      </c>
      <c r="O56" s="28">
        <f t="shared" si="10"/>
        <v>46375</v>
      </c>
    </row>
    <row r="57" spans="2:21" ht="15" customHeight="1" thickBot="1" x14ac:dyDescent="0.3">
      <c r="B57" s="139"/>
      <c r="C57" s="27">
        <f t="shared" si="11"/>
        <v>52</v>
      </c>
      <c r="D57" s="26">
        <f t="shared" si="12"/>
        <v>46376</v>
      </c>
      <c r="E57" s="23">
        <f t="shared" si="13"/>
        <v>46377</v>
      </c>
      <c r="F57" s="24"/>
      <c r="G57" s="23">
        <f t="shared" si="14"/>
        <v>46378</v>
      </c>
      <c r="H57" s="24"/>
      <c r="I57" s="23">
        <f t="shared" si="8"/>
        <v>46379</v>
      </c>
      <c r="J57" s="24"/>
      <c r="K57" s="23">
        <f t="shared" si="9"/>
        <v>46380</v>
      </c>
      <c r="L57" s="24"/>
      <c r="M57" s="25">
        <f t="shared" si="15"/>
        <v>46381</v>
      </c>
      <c r="N57" s="22"/>
      <c r="O57" s="21">
        <f t="shared" si="10"/>
        <v>46382</v>
      </c>
      <c r="R57" s="20">
        <f>+D53</f>
        <v>46348</v>
      </c>
      <c r="S57" s="20">
        <f>+O57</f>
        <v>46382</v>
      </c>
      <c r="U57" s="2">
        <f>+S57-R57+1</f>
        <v>35</v>
      </c>
    </row>
    <row r="58" spans="2:21" s="12" customFormat="1" ht="4.9000000000000004" customHeight="1" x14ac:dyDescent="0.45">
      <c r="B58" s="19"/>
      <c r="C58" s="18"/>
      <c r="D58" s="17"/>
      <c r="E58" s="17"/>
      <c r="F58" s="17"/>
      <c r="G58" s="17"/>
      <c r="H58" s="17"/>
      <c r="I58" s="16"/>
      <c r="J58" s="16"/>
      <c r="K58" s="16"/>
      <c r="L58" s="16"/>
      <c r="M58" s="16"/>
      <c r="N58" s="16"/>
      <c r="O58" s="16"/>
      <c r="P58" s="15"/>
      <c r="Q58" s="3"/>
      <c r="R58" s="14"/>
      <c r="S58" s="14"/>
      <c r="T58" s="14"/>
      <c r="U58" s="13"/>
    </row>
    <row r="59" spans="2:21" s="6" customFormat="1" ht="15" customHeight="1" x14ac:dyDescent="0.25"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0"/>
      <c r="Q59" s="3"/>
      <c r="R59" s="10"/>
      <c r="S59" s="10"/>
      <c r="T59" s="10"/>
      <c r="U59" s="11"/>
    </row>
    <row r="60" spans="2:21" s="6" customFormat="1" x14ac:dyDescent="0.25"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0"/>
      <c r="Q60" s="3"/>
      <c r="R60" s="10"/>
      <c r="S60" s="10"/>
      <c r="T60" s="10"/>
      <c r="U60" s="11"/>
    </row>
    <row r="61" spans="2:21" s="6" customFormat="1" x14ac:dyDescent="0.25"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0"/>
      <c r="Q61" s="3"/>
      <c r="R61" s="10"/>
      <c r="S61" s="10"/>
      <c r="T61" s="10"/>
      <c r="U61" s="11"/>
    </row>
    <row r="62" spans="2:21" x14ac:dyDescent="0.25">
      <c r="B62" s="10"/>
      <c r="C62" s="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2:21" x14ac:dyDescent="0.25">
      <c r="B63" s="10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2:21" x14ac:dyDescent="0.25">
      <c r="B64" s="10"/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2:21" s="3" customFormat="1" x14ac:dyDescent="0.25">
      <c r="B65" s="10"/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U65" s="2"/>
    </row>
    <row r="66" spans="2:21" s="3" customFormat="1" x14ac:dyDescent="0.25">
      <c r="B66" s="10"/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U66" s="2"/>
    </row>
    <row r="67" spans="2:21" s="3" customFormat="1" x14ac:dyDescent="0.25">
      <c r="B67" s="10"/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U67" s="2"/>
    </row>
    <row r="68" spans="2:21" s="3" customFormat="1" x14ac:dyDescent="0.25">
      <c r="B68" s="10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U68" s="2"/>
    </row>
    <row r="69" spans="2:21" s="3" customFormat="1" x14ac:dyDescent="0.25">
      <c r="B69" s="10"/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U69" s="2"/>
    </row>
    <row r="70" spans="2:21" s="3" customFormat="1" x14ac:dyDescent="0.25">
      <c r="B70" s="10"/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U70" s="2"/>
    </row>
    <row r="71" spans="2:21" s="3" customFormat="1" x14ac:dyDescent="0.25">
      <c r="B71" s="10"/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U71" s="2"/>
    </row>
    <row r="72" spans="2:21" s="3" customFormat="1" x14ac:dyDescent="0.25">
      <c r="B72" s="10"/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U72" s="2"/>
    </row>
    <row r="73" spans="2:21" s="3" customFormat="1" x14ac:dyDescent="0.25">
      <c r="B73" s="10"/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U73" s="2"/>
    </row>
    <row r="75" spans="2:21" s="3" customFormat="1" x14ac:dyDescent="0.25">
      <c r="B75" s="6"/>
      <c r="C75" s="5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U75" s="2"/>
    </row>
    <row r="76" spans="2:21" s="3" customFormat="1" x14ac:dyDescent="0.25">
      <c r="B76" s="6"/>
      <c r="C76" s="5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U76" s="2"/>
    </row>
  </sheetData>
  <mergeCells count="23">
    <mergeCell ref="B36:B39"/>
    <mergeCell ref="B40:B44"/>
    <mergeCell ref="B45:B48"/>
    <mergeCell ref="B49:B52"/>
    <mergeCell ref="B53:B57"/>
    <mergeCell ref="M2:N2"/>
    <mergeCell ref="B32:B35"/>
    <mergeCell ref="E4:F4"/>
    <mergeCell ref="G4:H4"/>
    <mergeCell ref="I4:J4"/>
    <mergeCell ref="K4:L4"/>
    <mergeCell ref="M4:N4"/>
    <mergeCell ref="B6:B9"/>
    <mergeCell ref="B10:B13"/>
    <mergeCell ref="B14:B18"/>
    <mergeCell ref="B19:B22"/>
    <mergeCell ref="B23:B26"/>
    <mergeCell ref="B27:B31"/>
    <mergeCell ref="B2:C2"/>
    <mergeCell ref="E2:F2"/>
    <mergeCell ref="G2:H2"/>
    <mergeCell ref="I2:J2"/>
    <mergeCell ref="K2:L2"/>
  </mergeCells>
  <printOptions horizontalCentered="1"/>
  <pageMargins left="0" right="0" top="0.75" bottom="0" header="0.3" footer="0.3"/>
  <pageSetup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F88E06886AE40A766377889CAE92E" ma:contentTypeVersion="10" ma:contentTypeDescription="Create a new document." ma:contentTypeScope="" ma:versionID="1a929b7ffe700a57b1b37e13eef3ff73">
  <xsd:schema xmlns:xsd="http://www.w3.org/2001/XMLSchema" xmlns:xs="http://www.w3.org/2001/XMLSchema" xmlns:p="http://schemas.microsoft.com/office/2006/metadata/properties" xmlns:ns3="67fe749f-b549-4425-a70c-eb4986b878da" targetNamespace="http://schemas.microsoft.com/office/2006/metadata/properties" ma:root="true" ma:fieldsID="59f9794dc6085df1666dc35bff764e93" ns3:_="">
    <xsd:import namespace="67fe749f-b549-4425-a70c-eb4986b87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e749f-b549-4425-a70c-eb4986b87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fe749f-b549-4425-a70c-eb4986b878da" xsi:nil="true"/>
  </documentManagement>
</p:properties>
</file>

<file path=customXml/itemProps1.xml><?xml version="1.0" encoding="utf-8"?>
<ds:datastoreItem xmlns:ds="http://schemas.openxmlformats.org/officeDocument/2006/customXml" ds:itemID="{DE4462A3-8A02-490B-821A-44453D74F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fe749f-b549-4425-a70c-eb4986b87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6C309F-E445-41B3-8276-A69E81640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ADDF1-8367-45B5-851C-5B93402D8476}">
  <ds:schemaRefs>
    <ds:schemaRef ds:uri="67fe749f-b549-4425-a70c-eb4986b878da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Calendar</vt:lpstr>
      <vt:lpstr>'2026 Calendar'!Print_Area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Fusco</dc:creator>
  <cp:lastModifiedBy>Jerry Fusco</cp:lastModifiedBy>
  <dcterms:created xsi:type="dcterms:W3CDTF">2025-10-14T19:26:13Z</dcterms:created>
  <dcterms:modified xsi:type="dcterms:W3CDTF">2025-11-29T18:38:59Z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0x0101003FCF88E06886AE40A766377889CAE92E</vt:lpwstr>
  </property>
</Properties>
</file>